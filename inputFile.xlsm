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64cfa0988ef2281/Desktop/"/>
    </mc:Choice>
  </mc:AlternateContent>
  <xr:revisionPtr revIDLastSave="46" documentId="8_{2BDC4BF5-E9EF-4C3C-B580-EC5BEADE0CC6}" xr6:coauthVersionLast="45" xr6:coauthVersionMax="45" xr10:uidLastSave="{96272106-2FD3-4FFC-86CE-83EE8E2B26CF}"/>
  <bookViews>
    <workbookView xWindow="-110" yWindow="-110" windowWidth="19420" windowHeight="10420" xr2:uid="{8AAF10DC-3B4E-4ECA-8381-EDC97EA74742}"/>
  </bookViews>
  <sheets>
    <sheet name="Optimizer" sheetId="1" r:id="rId1"/>
  </sheets>
  <externalReferences>
    <externalReference r:id="rId2"/>
  </externalReferences>
  <definedNames>
    <definedName name="_xlnm._FilterDatabase" localSheetId="0" hidden="1">Optimizer!$A$1:$M$1</definedName>
    <definedName name="ALLPOSITIONS">#REF!</definedName>
    <definedName name="BADRANKS">#REF!</definedName>
    <definedName name="DEFRANK">#REF!</definedName>
    <definedName name="DEFRANKS">#REF!</definedName>
    <definedName name="RB">#REF!</definedName>
    <definedName name="solver_adj" localSheetId="0" hidden="1">Optimizer!$H$2:$H$201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Optimizer!$H$2:$H$201</definedName>
    <definedName name="solver_lhs10" localSheetId="0" hidden="1">Optimizer!$Q$8</definedName>
    <definedName name="solver_lhs11" localSheetId="0" hidden="1">Optimizer!$Q$9</definedName>
    <definedName name="solver_lhs12" localSheetId="0" hidden="1">Optimizer!$Q$9</definedName>
    <definedName name="solver_lhs13" localSheetId="0" hidden="1">Optimizer!$Q$9</definedName>
    <definedName name="solver_lhs14" localSheetId="0" hidden="1">Optimizer!$Q$9</definedName>
    <definedName name="solver_lhs15" localSheetId="0" hidden="1">Optimizer!$Q$9</definedName>
    <definedName name="solver_lhs16" localSheetId="0" hidden="1">Optimizer!$Q$9</definedName>
    <definedName name="solver_lhs17" localSheetId="0" hidden="1">Optimizer!$Q$9</definedName>
    <definedName name="solver_lhs2" localSheetId="0" hidden="1">Optimizer!$Q$1</definedName>
    <definedName name="solver_lhs3" localSheetId="0" hidden="1">Optimizer!$Q$10</definedName>
    <definedName name="solver_lhs4" localSheetId="0" hidden="1">Optimizer!$Q$11</definedName>
    <definedName name="solver_lhs5" localSheetId="0" hidden="1">Optimizer!$Q$4</definedName>
    <definedName name="solver_lhs6" localSheetId="0" hidden="1">Optimizer!$Q$6</definedName>
    <definedName name="solver_lhs7" localSheetId="0" hidden="1">Optimizer!$Q$7</definedName>
    <definedName name="solver_lhs8" localSheetId="0" hidden="1">Optimizer!$Q$7</definedName>
    <definedName name="solver_lhs9" localSheetId="0" hidden="1">Optimizer!$Q$8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12</definedName>
    <definedName name="solver_nwt" localSheetId="0" hidden="1">1</definedName>
    <definedName name="solver_opt" localSheetId="0" hidden="1">Optimizer!$Q$2</definedName>
    <definedName name="solver_pre" localSheetId="0" hidden="1">0.000001</definedName>
    <definedName name="solver_rbv" localSheetId="0" hidden="1">2</definedName>
    <definedName name="solver_rel1" localSheetId="0" hidden="1">5</definedName>
    <definedName name="solver_rel10" localSheetId="0" hidden="1">3</definedName>
    <definedName name="solver_rel11" localSheetId="0" hidden="1">1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2" localSheetId="0" hidden="1">1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1</definedName>
    <definedName name="solver_rel8" localSheetId="0" hidden="1">3</definedName>
    <definedName name="solver_rel9" localSheetId="0" hidden="1">1</definedName>
    <definedName name="solver_rhs1" localSheetId="0" hidden="1">binary</definedName>
    <definedName name="solver_rhs10" localSheetId="0" hidden="1">Optimizer!$P$8</definedName>
    <definedName name="solver_rhs11" localSheetId="0" hidden="1">Optimizer!$R$9</definedName>
    <definedName name="solver_rhs12" localSheetId="0" hidden="1">Optimizer!$P$9</definedName>
    <definedName name="solver_rhs13" localSheetId="0" hidden="1">Optimizer!$P$9</definedName>
    <definedName name="solver_rhs14" localSheetId="0" hidden="1">Optimizer!$P$9</definedName>
    <definedName name="solver_rhs15" localSheetId="0" hidden="1">Optimizer!$P$9</definedName>
    <definedName name="solver_rhs16" localSheetId="0" hidden="1">Optimizer!$P$9</definedName>
    <definedName name="solver_rhs17" localSheetId="0" hidden="1">Optimizer!$P$9</definedName>
    <definedName name="solver_rhs2" localSheetId="0" hidden="1">Optimizer!$P$1</definedName>
    <definedName name="solver_rhs3" localSheetId="0" hidden="1">Optimizer!$R$10</definedName>
    <definedName name="solver_rhs4" localSheetId="0" hidden="1">Optimizer!$R$11</definedName>
    <definedName name="solver_rhs5" localSheetId="0" hidden="1">Optimizer!$P$4</definedName>
    <definedName name="solver_rhs6" localSheetId="0" hidden="1">Optimizer!$R$6</definedName>
    <definedName name="solver_rhs7" localSheetId="0" hidden="1">Optimizer!$R$7</definedName>
    <definedName name="solver_rhs8" localSheetId="0" hidden="1">Optimizer!$P$7</definedName>
    <definedName name="solver_rhs9" localSheetId="0" hidden="1">Optimizer!$R$8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TE">#REF!</definedName>
    <definedName name="WHOLEDEF">#REF!</definedName>
    <definedName name="WR">#REF!</definedName>
    <definedName name="WRCUMULATIVE">#REF!</definedName>
    <definedName name="WRTHREE">#REF!</definedName>
    <definedName name="WRTWO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68" i="1" l="1"/>
  <c r="L168" i="1"/>
  <c r="K168" i="1"/>
  <c r="J168" i="1"/>
  <c r="I168" i="1"/>
  <c r="M167" i="1"/>
  <c r="L167" i="1"/>
  <c r="K167" i="1"/>
  <c r="J167" i="1"/>
  <c r="I167" i="1"/>
  <c r="M166" i="1"/>
  <c r="L166" i="1"/>
  <c r="K166" i="1"/>
  <c r="J166" i="1"/>
  <c r="I166" i="1"/>
  <c r="M165" i="1"/>
  <c r="L165" i="1"/>
  <c r="K165" i="1"/>
  <c r="J165" i="1"/>
  <c r="I165" i="1"/>
  <c r="M164" i="1"/>
  <c r="L164" i="1"/>
  <c r="K164" i="1"/>
  <c r="J164" i="1"/>
  <c r="I164" i="1"/>
  <c r="M163" i="1"/>
  <c r="L163" i="1"/>
  <c r="K163" i="1"/>
  <c r="J163" i="1"/>
  <c r="I163" i="1"/>
  <c r="M162" i="1"/>
  <c r="L162" i="1"/>
  <c r="K162" i="1"/>
  <c r="J162" i="1"/>
  <c r="I162" i="1"/>
  <c r="M161" i="1"/>
  <c r="L161" i="1"/>
  <c r="K161" i="1"/>
  <c r="J161" i="1"/>
  <c r="I161" i="1"/>
  <c r="M160" i="1"/>
  <c r="L160" i="1"/>
  <c r="K160" i="1"/>
  <c r="J160" i="1"/>
  <c r="I160" i="1"/>
  <c r="M159" i="1"/>
  <c r="L159" i="1"/>
  <c r="K159" i="1"/>
  <c r="J159" i="1"/>
  <c r="I159" i="1"/>
  <c r="M158" i="1"/>
  <c r="L158" i="1"/>
  <c r="K158" i="1"/>
  <c r="J158" i="1"/>
  <c r="I158" i="1"/>
  <c r="M157" i="1"/>
  <c r="L157" i="1"/>
  <c r="K157" i="1"/>
  <c r="J157" i="1"/>
  <c r="I157" i="1"/>
  <c r="M156" i="1"/>
  <c r="L156" i="1"/>
  <c r="K156" i="1"/>
  <c r="J156" i="1"/>
  <c r="I156" i="1"/>
  <c r="M155" i="1"/>
  <c r="L155" i="1"/>
  <c r="K155" i="1"/>
  <c r="J155" i="1"/>
  <c r="I155" i="1"/>
  <c r="M154" i="1"/>
  <c r="L154" i="1"/>
  <c r="K154" i="1"/>
  <c r="J154" i="1"/>
  <c r="I154" i="1"/>
  <c r="M153" i="1"/>
  <c r="L153" i="1"/>
  <c r="K153" i="1"/>
  <c r="J153" i="1"/>
  <c r="I153" i="1"/>
  <c r="M152" i="1"/>
  <c r="L152" i="1"/>
  <c r="K152" i="1"/>
  <c r="J152" i="1"/>
  <c r="I152" i="1"/>
  <c r="AS151" i="1" a="1"/>
  <c r="AS151" i="1" s="1"/>
  <c r="AQ151" i="1" a="1"/>
  <c r="AQ151" i="1" s="1"/>
  <c r="AN151" i="1" a="1"/>
  <c r="AN151" i="1" s="1"/>
  <c r="AL151" i="1" a="1"/>
  <c r="AL151" i="1" s="1"/>
  <c r="AM151" i="1" s="1"/>
  <c r="AK151" i="1" a="1"/>
  <c r="AK151" i="1" s="1"/>
  <c r="Z151" i="1"/>
  <c r="M151" i="1"/>
  <c r="L151" i="1"/>
  <c r="K151" i="1"/>
  <c r="J151" i="1"/>
  <c r="I151" i="1"/>
  <c r="AS150" i="1" a="1"/>
  <c r="AS150" i="1" s="1"/>
  <c r="AQ150" i="1" a="1"/>
  <c r="AQ150" i="1" s="1"/>
  <c r="AN150" i="1" a="1"/>
  <c r="AN150" i="1" s="1"/>
  <c r="AL150" i="1" a="1"/>
  <c r="AL150" i="1" s="1"/>
  <c r="AM150" i="1" s="1"/>
  <c r="AK150" i="1" a="1"/>
  <c r="AK150" i="1" s="1"/>
  <c r="Z150" i="1"/>
  <c r="M150" i="1"/>
  <c r="L150" i="1"/>
  <c r="K150" i="1"/>
  <c r="J150" i="1"/>
  <c r="I150" i="1"/>
  <c r="AS149" i="1" a="1"/>
  <c r="AS149" i="1" s="1"/>
  <c r="AQ149" i="1" a="1"/>
  <c r="AQ149" i="1" s="1"/>
  <c r="AN149" i="1" a="1"/>
  <c r="AN149" i="1" s="1"/>
  <c r="AL149" i="1" a="1"/>
  <c r="AL149" i="1" s="1"/>
  <c r="AM149" i="1" s="1"/>
  <c r="AK149" i="1" a="1"/>
  <c r="AK149" i="1" s="1"/>
  <c r="Z149" i="1"/>
  <c r="M149" i="1"/>
  <c r="L149" i="1"/>
  <c r="K149" i="1"/>
  <c r="J149" i="1"/>
  <c r="I149" i="1"/>
  <c r="AS148" i="1" a="1"/>
  <c r="AS148" i="1" s="1"/>
  <c r="AQ148" i="1" a="1"/>
  <c r="AQ148" i="1" s="1"/>
  <c r="AN148" i="1" a="1"/>
  <c r="AN148" i="1" s="1"/>
  <c r="AL148" i="1" a="1"/>
  <c r="AL148" i="1" s="1"/>
  <c r="AM148" i="1" s="1"/>
  <c r="AK148" i="1" a="1"/>
  <c r="AK148" i="1" s="1"/>
  <c r="Z148" i="1"/>
  <c r="M148" i="1"/>
  <c r="L148" i="1"/>
  <c r="K148" i="1"/>
  <c r="J148" i="1"/>
  <c r="I148" i="1"/>
  <c r="AS147" i="1" a="1"/>
  <c r="AS147" i="1" s="1"/>
  <c r="AQ147" i="1" a="1"/>
  <c r="AQ147" i="1" s="1"/>
  <c r="AN147" i="1" a="1"/>
  <c r="AN147" i="1" s="1"/>
  <c r="AL147" i="1" a="1"/>
  <c r="AL147" i="1" s="1"/>
  <c r="AM147" i="1" s="1"/>
  <c r="AK147" i="1" a="1"/>
  <c r="AK147" i="1" s="1"/>
  <c r="Z147" i="1"/>
  <c r="M147" i="1"/>
  <c r="L147" i="1"/>
  <c r="K147" i="1"/>
  <c r="J147" i="1"/>
  <c r="I147" i="1"/>
  <c r="AS146" i="1" a="1"/>
  <c r="AS146" i="1" s="1"/>
  <c r="AQ146" i="1" a="1"/>
  <c r="AQ146" i="1" s="1"/>
  <c r="AN146" i="1" a="1"/>
  <c r="AN146" i="1" s="1"/>
  <c r="AL146" i="1"/>
  <c r="AM146" i="1" s="1"/>
  <c r="AL146" i="1" a="1"/>
  <c r="AK146" i="1" a="1"/>
  <c r="AK146" i="1" s="1"/>
  <c r="Z146" i="1"/>
  <c r="M146" i="1"/>
  <c r="L146" i="1"/>
  <c r="K146" i="1"/>
  <c r="J146" i="1"/>
  <c r="I146" i="1"/>
  <c r="AS145" i="1" a="1"/>
  <c r="AS145" i="1" s="1"/>
  <c r="AQ145" i="1" a="1"/>
  <c r="AQ145" i="1" s="1"/>
  <c r="AN145" i="1" a="1"/>
  <c r="AN145" i="1" s="1"/>
  <c r="AL145" i="1" a="1"/>
  <c r="AL145" i="1" s="1"/>
  <c r="AK145" i="1" a="1"/>
  <c r="AK145" i="1" s="1"/>
  <c r="Z145" i="1"/>
  <c r="M145" i="1"/>
  <c r="L145" i="1"/>
  <c r="K145" i="1"/>
  <c r="J145" i="1"/>
  <c r="I145" i="1"/>
  <c r="AS144" i="1" a="1"/>
  <c r="AS144" i="1" s="1"/>
  <c r="AQ144" i="1" a="1"/>
  <c r="AQ144" i="1" s="1"/>
  <c r="AN144" i="1"/>
  <c r="AN144" i="1" a="1"/>
  <c r="AL144" i="1" a="1"/>
  <c r="AL144" i="1" s="1"/>
  <c r="AM144" i="1" s="1"/>
  <c r="AK144" i="1" a="1"/>
  <c r="AK144" i="1" s="1"/>
  <c r="Z144" i="1"/>
  <c r="M144" i="1"/>
  <c r="L144" i="1"/>
  <c r="K144" i="1"/>
  <c r="J144" i="1"/>
  <c r="I144" i="1"/>
  <c r="AS143" i="1" a="1"/>
  <c r="AS143" i="1" s="1"/>
  <c r="AQ143" i="1" a="1"/>
  <c r="AQ143" i="1" s="1"/>
  <c r="AN143" i="1"/>
  <c r="AN143" i="1" a="1"/>
  <c r="AL143" i="1" a="1"/>
  <c r="AL143" i="1" s="1"/>
  <c r="AM143" i="1" s="1"/>
  <c r="AK143" i="1" a="1"/>
  <c r="AK143" i="1" s="1"/>
  <c r="Z143" i="1"/>
  <c r="M143" i="1"/>
  <c r="L143" i="1"/>
  <c r="K143" i="1"/>
  <c r="J143" i="1"/>
  <c r="I143" i="1"/>
  <c r="AS142" i="1" a="1"/>
  <c r="AS142" i="1" s="1"/>
  <c r="AQ142" i="1"/>
  <c r="AQ142" i="1" a="1"/>
  <c r="AN142" i="1" a="1"/>
  <c r="AN142" i="1" s="1"/>
  <c r="AL142" i="1" a="1"/>
  <c r="AL142" i="1" s="1"/>
  <c r="AM142" i="1" s="1"/>
  <c r="AK142" i="1" a="1"/>
  <c r="AK142" i="1" s="1"/>
  <c r="Z142" i="1"/>
  <c r="M142" i="1"/>
  <c r="L142" i="1"/>
  <c r="K142" i="1"/>
  <c r="J142" i="1"/>
  <c r="I142" i="1"/>
  <c r="AS141" i="1" a="1"/>
  <c r="AS141" i="1" s="1"/>
  <c r="AQ141" i="1" a="1"/>
  <c r="AQ141" i="1" s="1"/>
  <c r="AN141" i="1" a="1"/>
  <c r="AN141" i="1" s="1"/>
  <c r="AL141" i="1" a="1"/>
  <c r="AL141" i="1" s="1"/>
  <c r="AK141" i="1" a="1"/>
  <c r="AK141" i="1" s="1"/>
  <c r="Z141" i="1"/>
  <c r="M141" i="1"/>
  <c r="L141" i="1"/>
  <c r="K141" i="1"/>
  <c r="J141" i="1"/>
  <c r="I141" i="1"/>
  <c r="AS140" i="1" a="1"/>
  <c r="AS140" i="1" s="1"/>
  <c r="AQ140" i="1" a="1"/>
  <c r="AQ140" i="1" s="1"/>
  <c r="AN140" i="1" a="1"/>
  <c r="AN140" i="1" s="1"/>
  <c r="AL140" i="1" a="1"/>
  <c r="AL140" i="1" s="1"/>
  <c r="AM140" i="1" s="1"/>
  <c r="AK140" i="1" a="1"/>
  <c r="AK140" i="1" s="1"/>
  <c r="Z140" i="1"/>
  <c r="M140" i="1"/>
  <c r="L140" i="1"/>
  <c r="K140" i="1"/>
  <c r="J140" i="1"/>
  <c r="I140" i="1"/>
  <c r="AS139" i="1" a="1"/>
  <c r="AS139" i="1" s="1"/>
  <c r="AQ139" i="1" a="1"/>
  <c r="AQ139" i="1" s="1"/>
  <c r="AN139" i="1" a="1"/>
  <c r="AN139" i="1" s="1"/>
  <c r="AL139" i="1" a="1"/>
  <c r="AL139" i="1" s="1"/>
  <c r="AM139" i="1" s="1"/>
  <c r="AK139" i="1" a="1"/>
  <c r="AK139" i="1" s="1"/>
  <c r="Z139" i="1"/>
  <c r="M139" i="1"/>
  <c r="L139" i="1"/>
  <c r="K139" i="1"/>
  <c r="J139" i="1"/>
  <c r="I139" i="1"/>
  <c r="AS138" i="1" a="1"/>
  <c r="AS138" i="1" s="1"/>
  <c r="AQ138" i="1" a="1"/>
  <c r="AQ138" i="1" s="1"/>
  <c r="AN138" i="1" a="1"/>
  <c r="AN138" i="1" s="1"/>
  <c r="AL138" i="1" a="1"/>
  <c r="AL138" i="1" s="1"/>
  <c r="AM138" i="1" s="1"/>
  <c r="AK138" i="1" a="1"/>
  <c r="AK138" i="1" s="1"/>
  <c r="Z138" i="1"/>
  <c r="M138" i="1"/>
  <c r="L138" i="1"/>
  <c r="K138" i="1"/>
  <c r="J138" i="1"/>
  <c r="I138" i="1"/>
  <c r="AS137" i="1" a="1"/>
  <c r="AS137" i="1" s="1"/>
  <c r="AQ137" i="1" a="1"/>
  <c r="AQ137" i="1" s="1"/>
  <c r="AN137" i="1" a="1"/>
  <c r="AN137" i="1" s="1"/>
  <c r="AL137" i="1" a="1"/>
  <c r="AL137" i="1" s="1"/>
  <c r="AK137" i="1" a="1"/>
  <c r="AK137" i="1" s="1"/>
  <c r="Z137" i="1"/>
  <c r="M137" i="1"/>
  <c r="L137" i="1"/>
  <c r="K137" i="1"/>
  <c r="J137" i="1"/>
  <c r="I137" i="1"/>
  <c r="AS136" i="1" a="1"/>
  <c r="AS136" i="1" s="1"/>
  <c r="AQ136" i="1" a="1"/>
  <c r="AQ136" i="1" s="1"/>
  <c r="AN136" i="1" a="1"/>
  <c r="AN136" i="1" s="1"/>
  <c r="AL136" i="1" a="1"/>
  <c r="AL136" i="1" s="1"/>
  <c r="AM136" i="1" s="1"/>
  <c r="AK136" i="1" a="1"/>
  <c r="AK136" i="1" s="1"/>
  <c r="Z136" i="1"/>
  <c r="M136" i="1"/>
  <c r="L136" i="1"/>
  <c r="K136" i="1"/>
  <c r="J136" i="1"/>
  <c r="I136" i="1"/>
  <c r="AS135" i="1" a="1"/>
  <c r="AS135" i="1" s="1"/>
  <c r="AQ135" i="1" a="1"/>
  <c r="AQ135" i="1" s="1"/>
  <c r="AN135" i="1" a="1"/>
  <c r="AN135" i="1" s="1"/>
  <c r="AL135" i="1" a="1"/>
  <c r="AL135" i="1" s="1"/>
  <c r="AM135" i="1" s="1"/>
  <c r="AK135" i="1" a="1"/>
  <c r="AK135" i="1" s="1"/>
  <c r="Z135" i="1"/>
  <c r="M135" i="1"/>
  <c r="L135" i="1"/>
  <c r="K135" i="1"/>
  <c r="J135" i="1"/>
  <c r="I135" i="1"/>
  <c r="AS134" i="1" a="1"/>
  <c r="AS134" i="1" s="1"/>
  <c r="AQ134" i="1" a="1"/>
  <c r="AQ134" i="1" s="1"/>
  <c r="AN134" i="1" a="1"/>
  <c r="AN134" i="1" s="1"/>
  <c r="AL134" i="1"/>
  <c r="AM134" i="1" s="1"/>
  <c r="AL134" i="1" a="1"/>
  <c r="AK134" i="1" a="1"/>
  <c r="AK134" i="1" s="1"/>
  <c r="Z134" i="1"/>
  <c r="M134" i="1"/>
  <c r="L134" i="1"/>
  <c r="K134" i="1"/>
  <c r="J134" i="1"/>
  <c r="I134" i="1"/>
  <c r="AS133" i="1" a="1"/>
  <c r="AS133" i="1" s="1"/>
  <c r="AQ133" i="1" a="1"/>
  <c r="AQ133" i="1" s="1"/>
  <c r="AN133" i="1" a="1"/>
  <c r="AN133" i="1" s="1"/>
  <c r="AL133" i="1" a="1"/>
  <c r="AL133" i="1" s="1"/>
  <c r="AK133" i="1"/>
  <c r="AK133" i="1" a="1"/>
  <c r="Z133" i="1"/>
  <c r="M133" i="1"/>
  <c r="L133" i="1"/>
  <c r="K133" i="1"/>
  <c r="J133" i="1"/>
  <c r="I133" i="1"/>
  <c r="AS132" i="1"/>
  <c r="AS132" i="1" a="1"/>
  <c r="AQ132" i="1" a="1"/>
  <c r="AQ132" i="1" s="1"/>
  <c r="AN132" i="1" a="1"/>
  <c r="AN132" i="1" s="1"/>
  <c r="AL132" i="1"/>
  <c r="AM132" i="1" s="1"/>
  <c r="AL132" i="1" a="1"/>
  <c r="AK132" i="1" a="1"/>
  <c r="AK132" i="1" s="1"/>
  <c r="Z132" i="1"/>
  <c r="M132" i="1"/>
  <c r="L132" i="1"/>
  <c r="K132" i="1"/>
  <c r="J132" i="1"/>
  <c r="I132" i="1"/>
  <c r="AS131" i="1" a="1"/>
  <c r="AS131" i="1" s="1"/>
  <c r="AQ131" i="1" a="1"/>
  <c r="AQ131" i="1" s="1"/>
  <c r="AN131" i="1" a="1"/>
  <c r="AN131" i="1" s="1"/>
  <c r="AL131" i="1" a="1"/>
  <c r="AL131" i="1" s="1"/>
  <c r="AM131" i="1" s="1"/>
  <c r="AK131" i="1" a="1"/>
  <c r="AK131" i="1" s="1"/>
  <c r="Z131" i="1"/>
  <c r="M131" i="1"/>
  <c r="L131" i="1"/>
  <c r="K131" i="1"/>
  <c r="J131" i="1"/>
  <c r="I131" i="1"/>
  <c r="AS130" i="1" a="1"/>
  <c r="AS130" i="1" s="1"/>
  <c r="AQ130" i="1" a="1"/>
  <c r="AQ130" i="1" s="1"/>
  <c r="AN130" i="1" a="1"/>
  <c r="AN130" i="1" s="1"/>
  <c r="AL130" i="1" a="1"/>
  <c r="AL130" i="1" s="1"/>
  <c r="AM130" i="1" s="1"/>
  <c r="AK130" i="1" a="1"/>
  <c r="AK130" i="1" s="1"/>
  <c r="Z130" i="1"/>
  <c r="M130" i="1"/>
  <c r="L130" i="1"/>
  <c r="K130" i="1"/>
  <c r="J130" i="1"/>
  <c r="I130" i="1"/>
  <c r="AS129" i="1" a="1"/>
  <c r="AS129" i="1" s="1"/>
  <c r="AQ129" i="1"/>
  <c r="AQ129" i="1" a="1"/>
  <c r="AN129" i="1" a="1"/>
  <c r="AN129" i="1" s="1"/>
  <c r="AL129" i="1" a="1"/>
  <c r="AL129" i="1" s="1"/>
  <c r="AK129" i="1" a="1"/>
  <c r="AK129" i="1" s="1"/>
  <c r="Z129" i="1"/>
  <c r="M129" i="1"/>
  <c r="L129" i="1"/>
  <c r="K129" i="1"/>
  <c r="J129" i="1"/>
  <c r="I129" i="1"/>
  <c r="AS128" i="1" a="1"/>
  <c r="AS128" i="1" s="1"/>
  <c r="AQ128" i="1" a="1"/>
  <c r="AQ128" i="1" s="1"/>
  <c r="AN128" i="1" a="1"/>
  <c r="AN128" i="1" s="1"/>
  <c r="AL128" i="1"/>
  <c r="AM128" i="1" s="1"/>
  <c r="AL128" i="1" a="1"/>
  <c r="AK128" i="1" a="1"/>
  <c r="AK128" i="1" s="1"/>
  <c r="Z128" i="1"/>
  <c r="M128" i="1"/>
  <c r="L128" i="1"/>
  <c r="K128" i="1"/>
  <c r="J128" i="1"/>
  <c r="I128" i="1"/>
  <c r="AS127" i="1" a="1"/>
  <c r="AS127" i="1" s="1"/>
  <c r="AQ127" i="1" a="1"/>
  <c r="AQ127" i="1" s="1"/>
  <c r="AN127" i="1"/>
  <c r="AO127" i="1" s="1"/>
  <c r="AN127" i="1" a="1"/>
  <c r="AL127" i="1" a="1"/>
  <c r="AL127" i="1" s="1"/>
  <c r="AM127" i="1" s="1"/>
  <c r="AK127" i="1" a="1"/>
  <c r="AK127" i="1" s="1"/>
  <c r="Z127" i="1"/>
  <c r="M127" i="1"/>
  <c r="L127" i="1"/>
  <c r="K127" i="1"/>
  <c r="J127" i="1"/>
  <c r="I127" i="1"/>
  <c r="AS126" i="1" a="1"/>
  <c r="AS126" i="1" s="1"/>
  <c r="AQ126" i="1" a="1"/>
  <c r="AQ126" i="1" s="1"/>
  <c r="AN126" i="1" a="1"/>
  <c r="AN126" i="1" s="1"/>
  <c r="AL126" i="1" a="1"/>
  <c r="AL126" i="1" s="1"/>
  <c r="AM126" i="1" s="1"/>
  <c r="AK126" i="1" a="1"/>
  <c r="AK126" i="1" s="1"/>
  <c r="Z126" i="1"/>
  <c r="M126" i="1"/>
  <c r="L126" i="1"/>
  <c r="K126" i="1"/>
  <c r="J126" i="1"/>
  <c r="I126" i="1"/>
  <c r="AS125" i="1" a="1"/>
  <c r="AS125" i="1" s="1"/>
  <c r="AQ125" i="1"/>
  <c r="AQ125" i="1" a="1"/>
  <c r="AN125" i="1" a="1"/>
  <c r="AN125" i="1" s="1"/>
  <c r="AL125" i="1" a="1"/>
  <c r="AL125" i="1" s="1"/>
  <c r="AK125" i="1" a="1"/>
  <c r="AK125" i="1" s="1"/>
  <c r="Z125" i="1"/>
  <c r="M125" i="1"/>
  <c r="L125" i="1"/>
  <c r="K125" i="1"/>
  <c r="J125" i="1"/>
  <c r="I125" i="1"/>
  <c r="AS124" i="1" a="1"/>
  <c r="AS124" i="1" s="1"/>
  <c r="AQ124" i="1" a="1"/>
  <c r="AQ124" i="1" s="1"/>
  <c r="AN124" i="1" a="1"/>
  <c r="AN124" i="1" s="1"/>
  <c r="AO124" i="1" s="1"/>
  <c r="AP124" i="1" s="1"/>
  <c r="AL124" i="1"/>
  <c r="AM124" i="1" s="1"/>
  <c r="AL124" i="1" a="1"/>
  <c r="AK124" i="1" a="1"/>
  <c r="AK124" i="1" s="1"/>
  <c r="Z124" i="1"/>
  <c r="M124" i="1"/>
  <c r="L124" i="1"/>
  <c r="K124" i="1"/>
  <c r="J124" i="1"/>
  <c r="I124" i="1"/>
  <c r="AS123" i="1" a="1"/>
  <c r="AS123" i="1" s="1"/>
  <c r="AQ123" i="1" a="1"/>
  <c r="AQ123" i="1" s="1"/>
  <c r="AN123" i="1" a="1"/>
  <c r="AN123" i="1" s="1"/>
  <c r="AL123" i="1" a="1"/>
  <c r="AL123" i="1" s="1"/>
  <c r="AM123" i="1" s="1"/>
  <c r="AK123" i="1" a="1"/>
  <c r="AK123" i="1" s="1"/>
  <c r="Z123" i="1"/>
  <c r="M123" i="1"/>
  <c r="L123" i="1"/>
  <c r="K123" i="1"/>
  <c r="J123" i="1"/>
  <c r="I123" i="1"/>
  <c r="AS122" i="1" a="1"/>
  <c r="AS122" i="1" s="1"/>
  <c r="AQ122" i="1"/>
  <c r="AQ122" i="1" a="1"/>
  <c r="AN122" i="1" a="1"/>
  <c r="AN122" i="1" s="1"/>
  <c r="AL122" i="1"/>
  <c r="AM122" i="1" s="1"/>
  <c r="AL122" i="1" a="1"/>
  <c r="AK122" i="1" a="1"/>
  <c r="AK122" i="1" s="1"/>
  <c r="Z122" i="1"/>
  <c r="M122" i="1"/>
  <c r="L122" i="1"/>
  <c r="K122" i="1"/>
  <c r="J122" i="1"/>
  <c r="I122" i="1"/>
  <c r="AS121" i="1" a="1"/>
  <c r="AS121" i="1" s="1"/>
  <c r="AQ121" i="1" a="1"/>
  <c r="AQ121" i="1" s="1"/>
  <c r="AN121" i="1" a="1"/>
  <c r="AN121" i="1" s="1"/>
  <c r="AL121" i="1" a="1"/>
  <c r="AL121" i="1" s="1"/>
  <c r="AM121" i="1" s="1"/>
  <c r="AK121" i="1" a="1"/>
  <c r="AK121" i="1" s="1"/>
  <c r="Z121" i="1"/>
  <c r="M121" i="1"/>
  <c r="L121" i="1"/>
  <c r="K121" i="1"/>
  <c r="J121" i="1"/>
  <c r="I121" i="1"/>
  <c r="AS120" i="1" a="1"/>
  <c r="AS120" i="1" s="1"/>
  <c r="AQ120" i="1" a="1"/>
  <c r="AQ120" i="1" s="1"/>
  <c r="AN120" i="1" a="1"/>
  <c r="AN120" i="1" s="1"/>
  <c r="AO120" i="1" s="1"/>
  <c r="AP120" i="1" s="1"/>
  <c r="AL120" i="1" a="1"/>
  <c r="AL120" i="1" s="1"/>
  <c r="AM120" i="1" s="1"/>
  <c r="AK120" i="1" a="1"/>
  <c r="AK120" i="1" s="1"/>
  <c r="Z120" i="1"/>
  <c r="M120" i="1"/>
  <c r="L120" i="1"/>
  <c r="K120" i="1"/>
  <c r="J120" i="1"/>
  <c r="I120" i="1"/>
  <c r="AS119" i="1" a="1"/>
  <c r="AS119" i="1" s="1"/>
  <c r="AQ119" i="1" a="1"/>
  <c r="AQ119" i="1" s="1"/>
  <c r="AN119" i="1" a="1"/>
  <c r="AN119" i="1" s="1"/>
  <c r="AL119" i="1" a="1"/>
  <c r="AL119" i="1" s="1"/>
  <c r="AM119" i="1" s="1"/>
  <c r="AK119" i="1" a="1"/>
  <c r="AK119" i="1" s="1"/>
  <c r="Z119" i="1"/>
  <c r="M119" i="1"/>
  <c r="L119" i="1"/>
  <c r="K119" i="1"/>
  <c r="J119" i="1"/>
  <c r="I119" i="1"/>
  <c r="AS118" i="1" a="1"/>
  <c r="AS118" i="1" s="1"/>
  <c r="AQ118" i="1" a="1"/>
  <c r="AQ118" i="1" s="1"/>
  <c r="AN118" i="1" a="1"/>
  <c r="AN118" i="1" s="1"/>
  <c r="AO118" i="1" s="1"/>
  <c r="AL118" i="1" a="1"/>
  <c r="AL118" i="1" s="1"/>
  <c r="AM118" i="1" s="1"/>
  <c r="AK118" i="1" a="1"/>
  <c r="AK118" i="1" s="1"/>
  <c r="Z118" i="1"/>
  <c r="M118" i="1"/>
  <c r="L118" i="1"/>
  <c r="K118" i="1"/>
  <c r="J118" i="1"/>
  <c r="I118" i="1"/>
  <c r="AS117" i="1" a="1"/>
  <c r="AS117" i="1" s="1"/>
  <c r="AQ117" i="1" a="1"/>
  <c r="AQ117" i="1" s="1"/>
  <c r="AN117" i="1" a="1"/>
  <c r="AN117" i="1" s="1"/>
  <c r="AL117" i="1" a="1"/>
  <c r="AL117" i="1" s="1"/>
  <c r="AK117" i="1" a="1"/>
  <c r="AK117" i="1" s="1"/>
  <c r="Z117" i="1"/>
  <c r="M117" i="1"/>
  <c r="L117" i="1"/>
  <c r="K117" i="1"/>
  <c r="J117" i="1"/>
  <c r="I117" i="1"/>
  <c r="AS116" i="1" a="1"/>
  <c r="AS116" i="1" s="1"/>
  <c r="AQ116" i="1" a="1"/>
  <c r="AQ116" i="1" s="1"/>
  <c r="AN116" i="1"/>
  <c r="AO116" i="1" s="1"/>
  <c r="AP116" i="1" s="1"/>
  <c r="AN116" i="1" a="1"/>
  <c r="AL116" i="1"/>
  <c r="AM116" i="1" s="1"/>
  <c r="AL116" i="1" a="1"/>
  <c r="AK116" i="1" a="1"/>
  <c r="AK116" i="1" s="1"/>
  <c r="Z116" i="1"/>
  <c r="M116" i="1"/>
  <c r="L116" i="1"/>
  <c r="K116" i="1"/>
  <c r="J116" i="1"/>
  <c r="I116" i="1"/>
  <c r="AS115" i="1" a="1"/>
  <c r="AS115" i="1" s="1"/>
  <c r="AQ115" i="1" a="1"/>
  <c r="AQ115" i="1" s="1"/>
  <c r="AN115" i="1" a="1"/>
  <c r="AN115" i="1" s="1"/>
  <c r="AL115" i="1" a="1"/>
  <c r="AL115" i="1" s="1"/>
  <c r="AM115" i="1" s="1"/>
  <c r="AK115" i="1" a="1"/>
  <c r="AK115" i="1" s="1"/>
  <c r="Z115" i="1"/>
  <c r="M115" i="1"/>
  <c r="L115" i="1"/>
  <c r="K115" i="1"/>
  <c r="J115" i="1"/>
  <c r="I115" i="1"/>
  <c r="AS114" i="1" a="1"/>
  <c r="AS114" i="1" s="1"/>
  <c r="AQ114" i="1"/>
  <c r="AQ114" i="1" a="1"/>
  <c r="AN114" i="1" a="1"/>
  <c r="AN114" i="1" s="1"/>
  <c r="AO114" i="1" s="1"/>
  <c r="AP114" i="1" s="1"/>
  <c r="AL114" i="1" a="1"/>
  <c r="AL114" i="1" s="1"/>
  <c r="AM114" i="1" s="1"/>
  <c r="AK114" i="1" a="1"/>
  <c r="AK114" i="1" s="1"/>
  <c r="Z114" i="1"/>
  <c r="M114" i="1"/>
  <c r="L114" i="1"/>
  <c r="K114" i="1"/>
  <c r="J114" i="1"/>
  <c r="I114" i="1"/>
  <c r="AS113" i="1"/>
  <c r="AS113" i="1" a="1"/>
  <c r="AQ113" i="1" a="1"/>
  <c r="AQ113" i="1" s="1"/>
  <c r="AN113" i="1" a="1"/>
  <c r="AN113" i="1" s="1"/>
  <c r="AL113" i="1" a="1"/>
  <c r="AL113" i="1" s="1"/>
  <c r="AM113" i="1" s="1"/>
  <c r="AK113" i="1"/>
  <c r="AK113" i="1" a="1"/>
  <c r="Z113" i="1"/>
  <c r="M113" i="1"/>
  <c r="L113" i="1"/>
  <c r="K113" i="1"/>
  <c r="J113" i="1"/>
  <c r="I113" i="1"/>
  <c r="AS112" i="1"/>
  <c r="AS112" i="1" a="1"/>
  <c r="AQ112" i="1" a="1"/>
  <c r="AQ112" i="1" s="1"/>
  <c r="AN112" i="1" a="1"/>
  <c r="AN112" i="1" s="1"/>
  <c r="AO112" i="1" s="1"/>
  <c r="AP112" i="1" s="1"/>
  <c r="AL112" i="1" a="1"/>
  <c r="AL112" i="1" s="1"/>
  <c r="AM112" i="1" s="1"/>
  <c r="AK112" i="1" a="1"/>
  <c r="AK112" i="1" s="1"/>
  <c r="Z112" i="1"/>
  <c r="M112" i="1"/>
  <c r="L112" i="1"/>
  <c r="K112" i="1"/>
  <c r="J112" i="1"/>
  <c r="I112" i="1"/>
  <c r="AS111" i="1" a="1"/>
  <c r="AS111" i="1" s="1"/>
  <c r="AQ111" i="1" a="1"/>
  <c r="AQ111" i="1" s="1"/>
  <c r="AN111" i="1"/>
  <c r="AN111" i="1" a="1"/>
  <c r="AL111" i="1" a="1"/>
  <c r="AL111" i="1" s="1"/>
  <c r="AM111" i="1" s="1"/>
  <c r="AK111" i="1" a="1"/>
  <c r="AK111" i="1" s="1"/>
  <c r="Z111" i="1"/>
  <c r="M111" i="1"/>
  <c r="L111" i="1"/>
  <c r="K111" i="1"/>
  <c r="J111" i="1"/>
  <c r="I111" i="1"/>
  <c r="AS110" i="1" a="1"/>
  <c r="AS110" i="1" s="1"/>
  <c r="AQ110" i="1" a="1"/>
  <c r="AQ110" i="1" s="1"/>
  <c r="AN110" i="1" a="1"/>
  <c r="AN110" i="1" s="1"/>
  <c r="AL110" i="1" a="1"/>
  <c r="AL110" i="1" s="1"/>
  <c r="AM110" i="1" s="1"/>
  <c r="AK110" i="1" a="1"/>
  <c r="AK110" i="1" s="1"/>
  <c r="Z110" i="1"/>
  <c r="M110" i="1"/>
  <c r="L110" i="1"/>
  <c r="K110" i="1"/>
  <c r="J110" i="1"/>
  <c r="I110" i="1"/>
  <c r="AS109" i="1" a="1"/>
  <c r="AS109" i="1" s="1"/>
  <c r="AQ109" i="1" a="1"/>
  <c r="AQ109" i="1" s="1"/>
  <c r="AN109" i="1" a="1"/>
  <c r="AN109" i="1" s="1"/>
  <c r="AL109" i="1"/>
  <c r="AM109" i="1" s="1"/>
  <c r="AL109" i="1" a="1"/>
  <c r="AK109" i="1"/>
  <c r="AK109" i="1" a="1"/>
  <c r="Z109" i="1"/>
  <c r="M109" i="1"/>
  <c r="L109" i="1"/>
  <c r="K109" i="1"/>
  <c r="J109" i="1"/>
  <c r="I109" i="1"/>
  <c r="AS108" i="1"/>
  <c r="AS108" i="1" a="1"/>
  <c r="AQ108" i="1" a="1"/>
  <c r="AQ108" i="1" s="1"/>
  <c r="AN108" i="1" a="1"/>
  <c r="AN108" i="1" s="1"/>
  <c r="AL108" i="1" a="1"/>
  <c r="AL108" i="1" s="1"/>
  <c r="AM108" i="1" s="1"/>
  <c r="AK108" i="1" a="1"/>
  <c r="AK108" i="1" s="1"/>
  <c r="Z108" i="1"/>
  <c r="M108" i="1"/>
  <c r="L108" i="1"/>
  <c r="K108" i="1"/>
  <c r="J108" i="1"/>
  <c r="I108" i="1"/>
  <c r="AS107" i="1" a="1"/>
  <c r="AS107" i="1" s="1"/>
  <c r="AQ107" i="1" a="1"/>
  <c r="AQ107" i="1" s="1"/>
  <c r="AN107" i="1" a="1"/>
  <c r="AN107" i="1" s="1"/>
  <c r="AL107" i="1" a="1"/>
  <c r="AL107" i="1" s="1"/>
  <c r="AM107" i="1" s="1"/>
  <c r="AK107" i="1"/>
  <c r="AK107" i="1" a="1"/>
  <c r="Z107" i="1"/>
  <c r="M107" i="1"/>
  <c r="L107" i="1"/>
  <c r="K107" i="1"/>
  <c r="J107" i="1"/>
  <c r="I107" i="1"/>
  <c r="AS106" i="1" a="1"/>
  <c r="AS106" i="1" s="1"/>
  <c r="AQ106" i="1" a="1"/>
  <c r="AQ106" i="1" s="1"/>
  <c r="AN106" i="1" a="1"/>
  <c r="AN106" i="1" s="1"/>
  <c r="AL106" i="1" a="1"/>
  <c r="AL106" i="1" s="1"/>
  <c r="AM106" i="1" s="1"/>
  <c r="AK106" i="1" a="1"/>
  <c r="AK106" i="1" s="1"/>
  <c r="Z106" i="1"/>
  <c r="M106" i="1"/>
  <c r="L106" i="1"/>
  <c r="K106" i="1"/>
  <c r="J106" i="1"/>
  <c r="I106" i="1"/>
  <c r="AS105" i="1" a="1"/>
  <c r="AS105" i="1" s="1"/>
  <c r="AQ105" i="1" a="1"/>
  <c r="AQ105" i="1" s="1"/>
  <c r="AN105" i="1" a="1"/>
  <c r="AN105" i="1" s="1"/>
  <c r="AL105" i="1"/>
  <c r="AM105" i="1" s="1"/>
  <c r="AL105" i="1" a="1"/>
  <c r="AK105" i="1" a="1"/>
  <c r="AK105" i="1" s="1"/>
  <c r="Z105" i="1"/>
  <c r="M105" i="1"/>
  <c r="L105" i="1"/>
  <c r="K105" i="1"/>
  <c r="J105" i="1"/>
  <c r="I105" i="1"/>
  <c r="AS104" i="1" a="1"/>
  <c r="AS104" i="1" s="1"/>
  <c r="AQ104" i="1" a="1"/>
  <c r="AQ104" i="1" s="1"/>
  <c r="AN104" i="1"/>
  <c r="AN104" i="1" a="1"/>
  <c r="AL104" i="1" a="1"/>
  <c r="AL104" i="1" s="1"/>
  <c r="AM104" i="1" s="1"/>
  <c r="AK104" i="1" a="1"/>
  <c r="AK104" i="1" s="1"/>
  <c r="Z104" i="1"/>
  <c r="M104" i="1"/>
  <c r="L104" i="1"/>
  <c r="K104" i="1"/>
  <c r="J104" i="1"/>
  <c r="I104" i="1"/>
  <c r="AS103" i="1" a="1"/>
  <c r="AS103" i="1" s="1"/>
  <c r="AQ103" i="1" a="1"/>
  <c r="AQ103" i="1" s="1"/>
  <c r="AN103" i="1" a="1"/>
  <c r="AN103" i="1" s="1"/>
  <c r="AL103" i="1" a="1"/>
  <c r="AL103" i="1" s="1"/>
  <c r="AM103" i="1" s="1"/>
  <c r="AK103" i="1"/>
  <c r="AK103" i="1" a="1"/>
  <c r="Z103" i="1"/>
  <c r="M103" i="1"/>
  <c r="L103" i="1"/>
  <c r="K103" i="1"/>
  <c r="J103" i="1"/>
  <c r="I103" i="1"/>
  <c r="AS102" i="1"/>
  <c r="AS102" i="1" a="1"/>
  <c r="AQ102" i="1"/>
  <c r="AQ102" i="1" a="1"/>
  <c r="AN102" i="1" a="1"/>
  <c r="AN102" i="1" s="1"/>
  <c r="AL102" i="1" a="1"/>
  <c r="AL102" i="1" s="1"/>
  <c r="AM102" i="1" s="1"/>
  <c r="AK102" i="1" a="1"/>
  <c r="AK102" i="1" s="1"/>
  <c r="Z102" i="1"/>
  <c r="M102" i="1"/>
  <c r="L102" i="1"/>
  <c r="K102" i="1"/>
  <c r="J102" i="1"/>
  <c r="I102" i="1"/>
  <c r="AS101" i="1" a="1"/>
  <c r="AS101" i="1" s="1"/>
  <c r="AQ101" i="1" a="1"/>
  <c r="AQ101" i="1" s="1"/>
  <c r="AN101" i="1" a="1"/>
  <c r="AN101" i="1" s="1"/>
  <c r="AL101" i="1" a="1"/>
  <c r="AL101" i="1" s="1"/>
  <c r="AM101" i="1" s="1"/>
  <c r="AK101" i="1" a="1"/>
  <c r="AK101" i="1" s="1"/>
  <c r="Z101" i="1"/>
  <c r="M101" i="1"/>
  <c r="L101" i="1"/>
  <c r="K101" i="1"/>
  <c r="J101" i="1"/>
  <c r="I101" i="1"/>
  <c r="AS100" i="1" a="1"/>
  <c r="AS100" i="1" s="1"/>
  <c r="AQ100" i="1" a="1"/>
  <c r="AQ100" i="1" s="1"/>
  <c r="AO100" i="1"/>
  <c r="AP100" i="1" s="1"/>
  <c r="AN100" i="1" a="1"/>
  <c r="AN100" i="1" s="1"/>
  <c r="AL100" i="1"/>
  <c r="AM100" i="1" s="1"/>
  <c r="AL100" i="1" a="1"/>
  <c r="AK100" i="1" a="1"/>
  <c r="AK100" i="1" s="1"/>
  <c r="Z100" i="1"/>
  <c r="M100" i="1"/>
  <c r="L100" i="1"/>
  <c r="K100" i="1"/>
  <c r="J100" i="1"/>
  <c r="I100" i="1"/>
  <c r="AS99" i="1" a="1"/>
  <c r="AS99" i="1" s="1"/>
  <c r="AQ99" i="1" a="1"/>
  <c r="AQ99" i="1" s="1"/>
  <c r="AN99" i="1" a="1"/>
  <c r="AN99" i="1" s="1"/>
  <c r="AO99" i="1" s="1"/>
  <c r="AL99" i="1" a="1"/>
  <c r="AL99" i="1" s="1"/>
  <c r="AM99" i="1" s="1"/>
  <c r="AK99" i="1" a="1"/>
  <c r="AK99" i="1" s="1"/>
  <c r="Z99" i="1"/>
  <c r="M99" i="1"/>
  <c r="L99" i="1"/>
  <c r="K99" i="1"/>
  <c r="J99" i="1"/>
  <c r="I99" i="1"/>
  <c r="AS98" i="1" a="1"/>
  <c r="AS98" i="1" s="1"/>
  <c r="AQ98" i="1" a="1"/>
  <c r="AQ98" i="1" s="1"/>
  <c r="AN98" i="1" a="1"/>
  <c r="AN98" i="1" s="1"/>
  <c r="AM98" i="1"/>
  <c r="AL98" i="1"/>
  <c r="AL98" i="1" a="1"/>
  <c r="AK98" i="1" a="1"/>
  <c r="AK98" i="1" s="1"/>
  <c r="Z98" i="1"/>
  <c r="M98" i="1"/>
  <c r="L98" i="1"/>
  <c r="K98" i="1"/>
  <c r="J98" i="1"/>
  <c r="I98" i="1"/>
  <c r="AS97" i="1" a="1"/>
  <c r="AS97" i="1" s="1"/>
  <c r="AQ97" i="1" a="1"/>
  <c r="AQ97" i="1" s="1"/>
  <c r="AN97" i="1" a="1"/>
  <c r="AN97" i="1" s="1"/>
  <c r="AL97" i="1" a="1"/>
  <c r="AL97" i="1" s="1"/>
  <c r="AM97" i="1" s="1"/>
  <c r="AK97" i="1" a="1"/>
  <c r="AK97" i="1" s="1"/>
  <c r="Z97" i="1"/>
  <c r="M97" i="1"/>
  <c r="L97" i="1"/>
  <c r="K97" i="1"/>
  <c r="J97" i="1"/>
  <c r="I97" i="1"/>
  <c r="AS96" i="1" a="1"/>
  <c r="AS96" i="1" s="1"/>
  <c r="AQ96" i="1" a="1"/>
  <c r="AQ96" i="1" s="1"/>
  <c r="AN96" i="1" a="1"/>
  <c r="AN96" i="1" s="1"/>
  <c r="AL96" i="1" a="1"/>
  <c r="AL96" i="1" s="1"/>
  <c r="AM96" i="1" s="1"/>
  <c r="AK96" i="1" a="1"/>
  <c r="AK96" i="1" s="1"/>
  <c r="Z96" i="1"/>
  <c r="M96" i="1"/>
  <c r="L96" i="1"/>
  <c r="K96" i="1"/>
  <c r="J96" i="1"/>
  <c r="I96" i="1"/>
  <c r="AS95" i="1" a="1"/>
  <c r="AS95" i="1" s="1"/>
  <c r="AQ95" i="1" a="1"/>
  <c r="AQ95" i="1" s="1"/>
  <c r="AN95" i="1" a="1"/>
  <c r="AN95" i="1" s="1"/>
  <c r="AL95" i="1" a="1"/>
  <c r="AL95" i="1" s="1"/>
  <c r="AM95" i="1" s="1"/>
  <c r="AK95" i="1" a="1"/>
  <c r="AK95" i="1" s="1"/>
  <c r="Z95" i="1"/>
  <c r="M95" i="1"/>
  <c r="L95" i="1"/>
  <c r="K95" i="1"/>
  <c r="J95" i="1"/>
  <c r="I95" i="1"/>
  <c r="AS94" i="1" a="1"/>
  <c r="AS94" i="1" s="1"/>
  <c r="AQ94" i="1" a="1"/>
  <c r="AQ94" i="1" s="1"/>
  <c r="AN94" i="1" a="1"/>
  <c r="AN94" i="1" s="1"/>
  <c r="AL94" i="1" a="1"/>
  <c r="AL94" i="1" s="1"/>
  <c r="AM94" i="1" s="1"/>
  <c r="AK94" i="1" a="1"/>
  <c r="AK94" i="1" s="1"/>
  <c r="Z94" i="1"/>
  <c r="M94" i="1"/>
  <c r="L94" i="1"/>
  <c r="K94" i="1"/>
  <c r="J94" i="1"/>
  <c r="I94" i="1"/>
  <c r="AS93" i="1" a="1"/>
  <c r="AS93" i="1" s="1"/>
  <c r="AQ93" i="1" a="1"/>
  <c r="AQ93" i="1" s="1"/>
  <c r="AN93" i="1" a="1"/>
  <c r="AN93" i="1" s="1"/>
  <c r="AL93" i="1" a="1"/>
  <c r="AL93" i="1" s="1"/>
  <c r="AM93" i="1" s="1"/>
  <c r="AK93" i="1"/>
  <c r="AK93" i="1" a="1"/>
  <c r="Z93" i="1"/>
  <c r="M93" i="1"/>
  <c r="L93" i="1"/>
  <c r="K93" i="1"/>
  <c r="J93" i="1"/>
  <c r="I93" i="1"/>
  <c r="AS92" i="1" a="1"/>
  <c r="AS92" i="1" s="1"/>
  <c r="AQ92" i="1" a="1"/>
  <c r="AQ92" i="1" s="1"/>
  <c r="AN92" i="1" a="1"/>
  <c r="AN92" i="1" s="1"/>
  <c r="AL92" i="1" a="1"/>
  <c r="AL92" i="1" s="1"/>
  <c r="AM92" i="1" s="1"/>
  <c r="AK92" i="1"/>
  <c r="AK92" i="1" a="1"/>
  <c r="Z92" i="1"/>
  <c r="M92" i="1"/>
  <c r="L92" i="1"/>
  <c r="K92" i="1"/>
  <c r="J92" i="1"/>
  <c r="I92" i="1"/>
  <c r="AS91" i="1"/>
  <c r="AS91" i="1" a="1"/>
  <c r="AQ91" i="1" a="1"/>
  <c r="AQ91" i="1" s="1"/>
  <c r="AN91" i="1" a="1"/>
  <c r="AN91" i="1" s="1"/>
  <c r="AL91" i="1" a="1"/>
  <c r="AL91" i="1" s="1"/>
  <c r="AM91" i="1" s="1"/>
  <c r="AK91" i="1" a="1"/>
  <c r="AK91" i="1" s="1"/>
  <c r="Z91" i="1"/>
  <c r="M91" i="1"/>
  <c r="L91" i="1"/>
  <c r="K91" i="1"/>
  <c r="J91" i="1"/>
  <c r="I91" i="1"/>
  <c r="AS90" i="1" a="1"/>
  <c r="AS90" i="1" s="1"/>
  <c r="AQ90" i="1" a="1"/>
  <c r="AQ90" i="1" s="1"/>
  <c r="AN90" i="1" a="1"/>
  <c r="AN90" i="1" s="1"/>
  <c r="AL90" i="1" a="1"/>
  <c r="AL90" i="1" s="1"/>
  <c r="AM90" i="1" s="1"/>
  <c r="AK90" i="1"/>
  <c r="AK90" i="1" a="1"/>
  <c r="Z90" i="1"/>
  <c r="M90" i="1"/>
  <c r="L90" i="1"/>
  <c r="K90" i="1"/>
  <c r="J90" i="1"/>
  <c r="I90" i="1"/>
  <c r="AS89" i="1"/>
  <c r="AS89" i="1" a="1"/>
  <c r="AQ89" i="1" a="1"/>
  <c r="AQ89" i="1" s="1"/>
  <c r="AN89" i="1" a="1"/>
  <c r="AN89" i="1" s="1"/>
  <c r="AL89" i="1" a="1"/>
  <c r="AL89" i="1" s="1"/>
  <c r="AM89" i="1" s="1"/>
  <c r="AK89" i="1" a="1"/>
  <c r="AK89" i="1" s="1"/>
  <c r="Z89" i="1"/>
  <c r="M89" i="1"/>
  <c r="L89" i="1"/>
  <c r="K89" i="1"/>
  <c r="J89" i="1"/>
  <c r="I89" i="1"/>
  <c r="AS88" i="1" a="1"/>
  <c r="AS88" i="1" s="1"/>
  <c r="AQ88" i="1" a="1"/>
  <c r="AQ88" i="1" s="1"/>
  <c r="AN88" i="1" a="1"/>
  <c r="AN88" i="1" s="1"/>
  <c r="AL88" i="1" a="1"/>
  <c r="AL88" i="1" s="1"/>
  <c r="AM88" i="1" s="1"/>
  <c r="AK88" i="1" a="1"/>
  <c r="AK88" i="1" s="1"/>
  <c r="Z88" i="1"/>
  <c r="M88" i="1"/>
  <c r="L88" i="1"/>
  <c r="K88" i="1"/>
  <c r="J88" i="1"/>
  <c r="I88" i="1"/>
  <c r="AS87" i="1" a="1"/>
  <c r="AS87" i="1" s="1"/>
  <c r="AQ87" i="1" a="1"/>
  <c r="AQ87" i="1" s="1"/>
  <c r="AN87" i="1"/>
  <c r="AN87" i="1" a="1"/>
  <c r="AL87" i="1"/>
  <c r="AM87" i="1" s="1"/>
  <c r="AL87" i="1" a="1"/>
  <c r="AK87" i="1" a="1"/>
  <c r="AK87" i="1" s="1"/>
  <c r="Z87" i="1"/>
  <c r="M87" i="1"/>
  <c r="L87" i="1"/>
  <c r="K87" i="1"/>
  <c r="J87" i="1"/>
  <c r="I87" i="1"/>
  <c r="AS86" i="1" a="1"/>
  <c r="AS86" i="1" s="1"/>
  <c r="AQ86" i="1" a="1"/>
  <c r="AQ86" i="1" s="1"/>
  <c r="AN86" i="1" a="1"/>
  <c r="AN86" i="1" s="1"/>
  <c r="AL86" i="1" a="1"/>
  <c r="AL86" i="1" s="1"/>
  <c r="AM86" i="1" s="1"/>
  <c r="AK86" i="1" a="1"/>
  <c r="AK86" i="1" s="1"/>
  <c r="Z86" i="1"/>
  <c r="M86" i="1"/>
  <c r="L86" i="1"/>
  <c r="K86" i="1"/>
  <c r="J86" i="1"/>
  <c r="I86" i="1"/>
  <c r="AS85" i="1" a="1"/>
  <c r="AS85" i="1" s="1"/>
  <c r="AQ85" i="1" a="1"/>
  <c r="AQ85" i="1" s="1"/>
  <c r="AN85" i="1" a="1"/>
  <c r="AN85" i="1" s="1"/>
  <c r="AL85" i="1" a="1"/>
  <c r="AL85" i="1" s="1"/>
  <c r="AM85" i="1" s="1"/>
  <c r="AK85" i="1" a="1"/>
  <c r="AK85" i="1" s="1"/>
  <c r="Z85" i="1"/>
  <c r="M85" i="1"/>
  <c r="L85" i="1"/>
  <c r="K85" i="1"/>
  <c r="J85" i="1"/>
  <c r="I85" i="1"/>
  <c r="AS84" i="1" a="1"/>
  <c r="AS84" i="1" s="1"/>
  <c r="AQ84" i="1" a="1"/>
  <c r="AQ84" i="1" s="1"/>
  <c r="AN84" i="1" a="1"/>
  <c r="AN84" i="1" s="1"/>
  <c r="AL84" i="1" a="1"/>
  <c r="AL84" i="1" s="1"/>
  <c r="AM84" i="1" s="1"/>
  <c r="AK84" i="1" a="1"/>
  <c r="AK84" i="1" s="1"/>
  <c r="Z84" i="1"/>
  <c r="M84" i="1"/>
  <c r="L84" i="1"/>
  <c r="K84" i="1"/>
  <c r="J84" i="1"/>
  <c r="I84" i="1"/>
  <c r="AS83" i="1" a="1"/>
  <c r="AS83" i="1" s="1"/>
  <c r="AQ83" i="1" a="1"/>
  <c r="AQ83" i="1" s="1"/>
  <c r="AN83" i="1"/>
  <c r="AN83" i="1" a="1"/>
  <c r="AL83" i="1"/>
  <c r="AM83" i="1" s="1"/>
  <c r="AL83" i="1" a="1"/>
  <c r="AK83" i="1" a="1"/>
  <c r="AK83" i="1" s="1"/>
  <c r="Z83" i="1"/>
  <c r="M83" i="1"/>
  <c r="L83" i="1"/>
  <c r="K83" i="1"/>
  <c r="J83" i="1"/>
  <c r="I83" i="1"/>
  <c r="AS82" i="1" a="1"/>
  <c r="AS82" i="1" s="1"/>
  <c r="AQ82" i="1" a="1"/>
  <c r="AQ82" i="1" s="1"/>
  <c r="AN82" i="1" a="1"/>
  <c r="AN82" i="1" s="1"/>
  <c r="AL82" i="1" a="1"/>
  <c r="AL82" i="1" s="1"/>
  <c r="AM82" i="1" s="1"/>
  <c r="AK82" i="1" a="1"/>
  <c r="AK82" i="1" s="1"/>
  <c r="Z82" i="1"/>
  <c r="M82" i="1"/>
  <c r="L82" i="1"/>
  <c r="K82" i="1"/>
  <c r="J82" i="1"/>
  <c r="I82" i="1"/>
  <c r="AS81" i="1" a="1"/>
  <c r="AS81" i="1" s="1"/>
  <c r="AQ81" i="1" a="1"/>
  <c r="AQ81" i="1" s="1"/>
  <c r="AN81" i="1" a="1"/>
  <c r="AN81" i="1" s="1"/>
  <c r="AO81" i="1" s="1"/>
  <c r="AL81" i="1"/>
  <c r="AM81" i="1" s="1"/>
  <c r="AL81" i="1" a="1"/>
  <c r="AK81" i="1" a="1"/>
  <c r="AK81" i="1" s="1"/>
  <c r="Z81" i="1"/>
  <c r="M81" i="1"/>
  <c r="L81" i="1"/>
  <c r="K81" i="1"/>
  <c r="J81" i="1"/>
  <c r="I81" i="1"/>
  <c r="AS80" i="1" a="1"/>
  <c r="AS80" i="1" s="1"/>
  <c r="AQ80" i="1" a="1"/>
  <c r="AQ80" i="1" s="1"/>
  <c r="AN80" i="1" a="1"/>
  <c r="AN80" i="1" s="1"/>
  <c r="AL80" i="1" a="1"/>
  <c r="AL80" i="1" s="1"/>
  <c r="AM80" i="1" s="1"/>
  <c r="AK80" i="1" a="1"/>
  <c r="AK80" i="1" s="1"/>
  <c r="Z80" i="1"/>
  <c r="M80" i="1"/>
  <c r="L80" i="1"/>
  <c r="K80" i="1"/>
  <c r="J80" i="1"/>
  <c r="I80" i="1"/>
  <c r="AS79" i="1" a="1"/>
  <c r="AS79" i="1" s="1"/>
  <c r="AQ79" i="1" a="1"/>
  <c r="AQ79" i="1" s="1"/>
  <c r="AN79" i="1" a="1"/>
  <c r="AN79" i="1" s="1"/>
  <c r="AO79" i="1" s="1"/>
  <c r="AL79" i="1" a="1"/>
  <c r="AL79" i="1" s="1"/>
  <c r="AM79" i="1" s="1"/>
  <c r="AK79" i="1" a="1"/>
  <c r="AK79" i="1" s="1"/>
  <c r="Z79" i="1"/>
  <c r="M79" i="1"/>
  <c r="L79" i="1"/>
  <c r="K79" i="1"/>
  <c r="J79" i="1"/>
  <c r="I79" i="1"/>
  <c r="AS78" i="1" a="1"/>
  <c r="AS78" i="1" s="1"/>
  <c r="AQ78" i="1" a="1"/>
  <c r="AQ78" i="1" s="1"/>
  <c r="AN78" i="1" a="1"/>
  <c r="AN78" i="1" s="1"/>
  <c r="AL78" i="1" a="1"/>
  <c r="AL78" i="1" s="1"/>
  <c r="AM78" i="1" s="1"/>
  <c r="AK78" i="1" a="1"/>
  <c r="AK78" i="1" s="1"/>
  <c r="Z78" i="1"/>
  <c r="M78" i="1"/>
  <c r="L78" i="1"/>
  <c r="K78" i="1"/>
  <c r="J78" i="1"/>
  <c r="I78" i="1"/>
  <c r="AS77" i="1" a="1"/>
  <c r="AS77" i="1" s="1"/>
  <c r="AQ77" i="1"/>
  <c r="AQ77" i="1" a="1"/>
  <c r="AN77" i="1" a="1"/>
  <c r="AN77" i="1" s="1"/>
  <c r="AO77" i="1" s="1"/>
  <c r="AL77" i="1" a="1"/>
  <c r="AL77" i="1" s="1"/>
  <c r="AM77" i="1" s="1"/>
  <c r="AK77" i="1" a="1"/>
  <c r="AK77" i="1" s="1"/>
  <c r="Z77" i="1"/>
  <c r="M77" i="1"/>
  <c r="L77" i="1"/>
  <c r="K77" i="1"/>
  <c r="J77" i="1"/>
  <c r="I77" i="1"/>
  <c r="AS76" i="1" a="1"/>
  <c r="AS76" i="1" s="1"/>
  <c r="AQ76" i="1" a="1"/>
  <c r="AQ76" i="1" s="1"/>
  <c r="AN76" i="1" a="1"/>
  <c r="AN76" i="1" s="1"/>
  <c r="AL76" i="1"/>
  <c r="AM76" i="1" s="1"/>
  <c r="AL76" i="1" a="1"/>
  <c r="AK76" i="1"/>
  <c r="AK76" i="1" a="1"/>
  <c r="Z76" i="1"/>
  <c r="M76" i="1"/>
  <c r="L76" i="1"/>
  <c r="K76" i="1"/>
  <c r="J76" i="1"/>
  <c r="I76" i="1"/>
  <c r="AS75" i="1"/>
  <c r="AS75" i="1" a="1"/>
  <c r="AQ75" i="1" a="1"/>
  <c r="AQ75" i="1" s="1"/>
  <c r="AN75" i="1" a="1"/>
  <c r="AN75" i="1" s="1"/>
  <c r="AL75" i="1" a="1"/>
  <c r="AL75" i="1" s="1"/>
  <c r="AM75" i="1" s="1"/>
  <c r="AK75" i="1" a="1"/>
  <c r="AK75" i="1" s="1"/>
  <c r="Z75" i="1"/>
  <c r="M75" i="1"/>
  <c r="L75" i="1"/>
  <c r="K75" i="1"/>
  <c r="J75" i="1"/>
  <c r="I75" i="1"/>
  <c r="AS74" i="1" a="1"/>
  <c r="AS74" i="1" s="1"/>
  <c r="AQ74" i="1" a="1"/>
  <c r="AQ74" i="1" s="1"/>
  <c r="AN74" i="1" a="1"/>
  <c r="AN74" i="1" s="1"/>
  <c r="AL74" i="1" a="1"/>
  <c r="AL74" i="1" s="1"/>
  <c r="AM74" i="1" s="1"/>
  <c r="AK74" i="1" a="1"/>
  <c r="AK74" i="1" s="1"/>
  <c r="Z74" i="1"/>
  <c r="M74" i="1"/>
  <c r="L74" i="1"/>
  <c r="K74" i="1"/>
  <c r="J74" i="1"/>
  <c r="I74" i="1"/>
  <c r="AS73" i="1" a="1"/>
  <c r="AS73" i="1" s="1"/>
  <c r="AQ73" i="1"/>
  <c r="AQ73" i="1" a="1"/>
  <c r="AO73" i="1"/>
  <c r="AN73" i="1" a="1"/>
  <c r="AN73" i="1" s="1"/>
  <c r="AL73" i="1" a="1"/>
  <c r="AL73" i="1" s="1"/>
  <c r="AM73" i="1" s="1"/>
  <c r="AK73" i="1" a="1"/>
  <c r="AK73" i="1" s="1"/>
  <c r="Z73" i="1"/>
  <c r="M73" i="1"/>
  <c r="L73" i="1"/>
  <c r="K73" i="1"/>
  <c r="J73" i="1"/>
  <c r="I73" i="1"/>
  <c r="AS72" i="1" a="1"/>
  <c r="AS72" i="1" s="1"/>
  <c r="AQ72" i="1" a="1"/>
  <c r="AQ72" i="1" s="1"/>
  <c r="AN72" i="1" a="1"/>
  <c r="AN72" i="1" s="1"/>
  <c r="AO72" i="1" s="1"/>
  <c r="AL72" i="1" a="1"/>
  <c r="AL72" i="1" s="1"/>
  <c r="AM72" i="1" s="1"/>
  <c r="AK72" i="1"/>
  <c r="AK72" i="1" a="1"/>
  <c r="Z72" i="1"/>
  <c r="M72" i="1"/>
  <c r="L72" i="1"/>
  <c r="K72" i="1"/>
  <c r="J72" i="1"/>
  <c r="I72" i="1"/>
  <c r="AS71" i="1"/>
  <c r="AS71" i="1" a="1"/>
  <c r="AQ71" i="1" a="1"/>
  <c r="AQ71" i="1" s="1"/>
  <c r="AN71" i="1" a="1"/>
  <c r="AN71" i="1" s="1"/>
  <c r="AL71" i="1"/>
  <c r="AM71" i="1" s="1"/>
  <c r="AL71" i="1" a="1"/>
  <c r="AK71" i="1" a="1"/>
  <c r="AK71" i="1" s="1"/>
  <c r="Z71" i="1"/>
  <c r="M71" i="1"/>
  <c r="L71" i="1"/>
  <c r="K71" i="1"/>
  <c r="J71" i="1"/>
  <c r="I71" i="1"/>
  <c r="AS70" i="1" a="1"/>
  <c r="AS70" i="1" s="1"/>
  <c r="AQ70" i="1" a="1"/>
  <c r="AQ70" i="1" s="1"/>
  <c r="AN70" i="1" a="1"/>
  <c r="AN70" i="1" s="1"/>
  <c r="AL70" i="1" a="1"/>
  <c r="AL70" i="1" s="1"/>
  <c r="AM70" i="1" s="1"/>
  <c r="AK70" i="1"/>
  <c r="AK70" i="1" a="1"/>
  <c r="Z70" i="1"/>
  <c r="M70" i="1"/>
  <c r="L70" i="1"/>
  <c r="K70" i="1"/>
  <c r="J70" i="1"/>
  <c r="I70" i="1"/>
  <c r="AS69" i="1" a="1"/>
  <c r="AS69" i="1" s="1"/>
  <c r="AQ69" i="1" a="1"/>
  <c r="AQ69" i="1" s="1"/>
  <c r="AO69" i="1"/>
  <c r="AN69" i="1" a="1"/>
  <c r="AN69" i="1" s="1"/>
  <c r="AL69" i="1" a="1"/>
  <c r="AL69" i="1" s="1"/>
  <c r="AM69" i="1" s="1"/>
  <c r="AK69" i="1" a="1"/>
  <c r="AK69" i="1" s="1"/>
  <c r="Z69" i="1"/>
  <c r="M69" i="1"/>
  <c r="L69" i="1"/>
  <c r="K69" i="1"/>
  <c r="J69" i="1"/>
  <c r="I69" i="1"/>
  <c r="AS68" i="1" a="1"/>
  <c r="AS68" i="1" s="1"/>
  <c r="AQ68" i="1" a="1"/>
  <c r="AQ68" i="1" s="1"/>
  <c r="AO68" i="1"/>
  <c r="AN68" i="1" a="1"/>
  <c r="AN68" i="1" s="1"/>
  <c r="AL68" i="1"/>
  <c r="AM68" i="1" s="1"/>
  <c r="AL68" i="1" a="1"/>
  <c r="AK68" i="1" a="1"/>
  <c r="AK68" i="1" s="1"/>
  <c r="Z68" i="1"/>
  <c r="M68" i="1"/>
  <c r="L68" i="1"/>
  <c r="K68" i="1"/>
  <c r="J68" i="1"/>
  <c r="I68" i="1"/>
  <c r="AS67" i="1" a="1"/>
  <c r="AS67" i="1" s="1"/>
  <c r="AQ67" i="1" a="1"/>
  <c r="AQ67" i="1" s="1"/>
  <c r="AN67" i="1" a="1"/>
  <c r="AN67" i="1" s="1"/>
  <c r="AO67" i="1" s="1"/>
  <c r="AL67" i="1"/>
  <c r="AM67" i="1" s="1"/>
  <c r="AL67" i="1" a="1"/>
  <c r="AK67" i="1" a="1"/>
  <c r="AK67" i="1" s="1"/>
  <c r="Z67" i="1"/>
  <c r="M67" i="1"/>
  <c r="L67" i="1"/>
  <c r="K67" i="1"/>
  <c r="J67" i="1"/>
  <c r="I67" i="1"/>
  <c r="AS66" i="1" a="1"/>
  <c r="AS66" i="1" s="1"/>
  <c r="AQ66" i="1" a="1"/>
  <c r="AQ66" i="1" s="1"/>
  <c r="AN66" i="1" a="1"/>
  <c r="AN66" i="1" s="1"/>
  <c r="AL66" i="1" a="1"/>
  <c r="AL66" i="1" s="1"/>
  <c r="AM66" i="1" s="1"/>
  <c r="AK66" i="1" a="1"/>
  <c r="AK66" i="1" s="1"/>
  <c r="Z66" i="1"/>
  <c r="M66" i="1"/>
  <c r="L66" i="1"/>
  <c r="K66" i="1"/>
  <c r="J66" i="1"/>
  <c r="I66" i="1"/>
  <c r="AS65" i="1" a="1"/>
  <c r="AS65" i="1" s="1"/>
  <c r="AQ65" i="1" a="1"/>
  <c r="AQ65" i="1" s="1"/>
  <c r="AN65" i="1" a="1"/>
  <c r="AN65" i="1" s="1"/>
  <c r="AL65" i="1" a="1"/>
  <c r="AL65" i="1" s="1"/>
  <c r="AK65" i="1" a="1"/>
  <c r="AK65" i="1" s="1"/>
  <c r="Z65" i="1"/>
  <c r="M65" i="1"/>
  <c r="L65" i="1"/>
  <c r="K65" i="1"/>
  <c r="J65" i="1"/>
  <c r="I65" i="1"/>
  <c r="AS64" i="1" a="1"/>
  <c r="AS64" i="1" s="1"/>
  <c r="AQ64" i="1" a="1"/>
  <c r="AQ64" i="1" s="1"/>
  <c r="AN64" i="1" a="1"/>
  <c r="AN64" i="1" s="1"/>
  <c r="AO64" i="1" s="1"/>
  <c r="AP64" i="1" s="1"/>
  <c r="AL64" i="1"/>
  <c r="AM64" i="1" s="1"/>
  <c r="AL64" i="1" a="1"/>
  <c r="AK64" i="1" a="1"/>
  <c r="AK64" i="1" s="1"/>
  <c r="Z64" i="1"/>
  <c r="M64" i="1"/>
  <c r="L64" i="1"/>
  <c r="K64" i="1"/>
  <c r="J64" i="1"/>
  <c r="I64" i="1"/>
  <c r="AS63" i="1" a="1"/>
  <c r="AS63" i="1" s="1"/>
  <c r="AQ63" i="1" a="1"/>
  <c r="AQ63" i="1" s="1"/>
  <c r="AN63" i="1" a="1"/>
  <c r="AN63" i="1" s="1"/>
  <c r="AL63" i="1" a="1"/>
  <c r="AL63" i="1" s="1"/>
  <c r="AM63" i="1" s="1"/>
  <c r="AK63" i="1" a="1"/>
  <c r="AK63" i="1" s="1"/>
  <c r="Z63" i="1"/>
  <c r="M63" i="1"/>
  <c r="L63" i="1"/>
  <c r="K63" i="1"/>
  <c r="J63" i="1"/>
  <c r="I63" i="1"/>
  <c r="AS62" i="1" a="1"/>
  <c r="AS62" i="1" s="1"/>
  <c r="AQ62" i="1" a="1"/>
  <c r="AQ62" i="1" s="1"/>
  <c r="AN62" i="1" a="1"/>
  <c r="AN62" i="1" s="1"/>
  <c r="AL62" i="1" a="1"/>
  <c r="AL62" i="1" s="1"/>
  <c r="AM62" i="1" s="1"/>
  <c r="AK62" i="1" a="1"/>
  <c r="AK62" i="1" s="1"/>
  <c r="Z62" i="1"/>
  <c r="M62" i="1"/>
  <c r="L62" i="1"/>
  <c r="K62" i="1"/>
  <c r="J62" i="1"/>
  <c r="I62" i="1"/>
  <c r="AS61" i="1" a="1"/>
  <c r="AS61" i="1" s="1"/>
  <c r="AQ61" i="1" a="1"/>
  <c r="AQ61" i="1" s="1"/>
  <c r="AN61" i="1" a="1"/>
  <c r="AN61" i="1" s="1"/>
  <c r="AL61" i="1" a="1"/>
  <c r="AL61" i="1" s="1"/>
  <c r="AM61" i="1" s="1"/>
  <c r="AK61" i="1" a="1"/>
  <c r="AK61" i="1" s="1"/>
  <c r="Z61" i="1"/>
  <c r="M61" i="1"/>
  <c r="L61" i="1"/>
  <c r="K61" i="1"/>
  <c r="J61" i="1"/>
  <c r="I61" i="1"/>
  <c r="AS60" i="1" a="1"/>
  <c r="AS60" i="1" s="1"/>
  <c r="AQ60" i="1"/>
  <c r="AQ60" i="1" a="1"/>
  <c r="AN60" i="1" a="1"/>
  <c r="AN60" i="1" s="1"/>
  <c r="AL60" i="1" a="1"/>
  <c r="AL60" i="1" s="1"/>
  <c r="AM60" i="1" s="1"/>
  <c r="AK60" i="1" a="1"/>
  <c r="AK60" i="1" s="1"/>
  <c r="Z60" i="1"/>
  <c r="M60" i="1"/>
  <c r="L60" i="1"/>
  <c r="K60" i="1"/>
  <c r="J60" i="1"/>
  <c r="I60" i="1"/>
  <c r="AS59" i="1" a="1"/>
  <c r="AS59" i="1" s="1"/>
  <c r="AQ59" i="1" a="1"/>
  <c r="AQ59" i="1" s="1"/>
  <c r="AN59" i="1" a="1"/>
  <c r="AN59" i="1" s="1"/>
  <c r="AO59" i="1" s="1"/>
  <c r="AP59" i="1" s="1"/>
  <c r="AL59" i="1" a="1"/>
  <c r="AL59" i="1" s="1"/>
  <c r="AM59" i="1" s="1"/>
  <c r="AK59" i="1" a="1"/>
  <c r="AK59" i="1" s="1"/>
  <c r="Z59" i="1"/>
  <c r="M59" i="1"/>
  <c r="L59" i="1"/>
  <c r="K59" i="1"/>
  <c r="J59" i="1"/>
  <c r="I59" i="1"/>
  <c r="AS58" i="1" a="1"/>
  <c r="AS58" i="1" s="1"/>
  <c r="AQ58" i="1" a="1"/>
  <c r="AQ58" i="1" s="1"/>
  <c r="AN58" i="1" a="1"/>
  <c r="AN58" i="1" s="1"/>
  <c r="AL58" i="1" a="1"/>
  <c r="AL58" i="1" s="1"/>
  <c r="AM58" i="1" s="1"/>
  <c r="AK58" i="1" a="1"/>
  <c r="AK58" i="1" s="1"/>
  <c r="Z58" i="1"/>
  <c r="M58" i="1"/>
  <c r="L58" i="1"/>
  <c r="K58" i="1"/>
  <c r="J58" i="1"/>
  <c r="I58" i="1"/>
  <c r="AS57" i="1" a="1"/>
  <c r="AS57" i="1" s="1"/>
  <c r="AQ57" i="1" a="1"/>
  <c r="AQ57" i="1" s="1"/>
  <c r="AN57" i="1" a="1"/>
  <c r="AN57" i="1" s="1"/>
  <c r="AL57" i="1" a="1"/>
  <c r="AL57" i="1" s="1"/>
  <c r="AM57" i="1" s="1"/>
  <c r="AK57" i="1" a="1"/>
  <c r="AK57" i="1" s="1"/>
  <c r="Z57" i="1"/>
  <c r="M57" i="1"/>
  <c r="L57" i="1"/>
  <c r="K57" i="1"/>
  <c r="J57" i="1"/>
  <c r="I57" i="1"/>
  <c r="AS56" i="1" a="1"/>
  <c r="AS56" i="1" s="1"/>
  <c r="AQ56" i="1" a="1"/>
  <c r="AQ56" i="1" s="1"/>
  <c r="AN56" i="1" a="1"/>
  <c r="AN56" i="1" s="1"/>
  <c r="AL56" i="1" a="1"/>
  <c r="AL56" i="1" s="1"/>
  <c r="AK56" i="1" a="1"/>
  <c r="AK56" i="1" s="1"/>
  <c r="Z56" i="1"/>
  <c r="M56" i="1"/>
  <c r="L56" i="1"/>
  <c r="K56" i="1"/>
  <c r="J56" i="1"/>
  <c r="I56" i="1"/>
  <c r="AS55" i="1" a="1"/>
  <c r="AS55" i="1" s="1"/>
  <c r="AQ55" i="1" a="1"/>
  <c r="AQ55" i="1" s="1"/>
  <c r="AN55" i="1" a="1"/>
  <c r="AN55" i="1" s="1"/>
  <c r="AL55" i="1" a="1"/>
  <c r="AL55" i="1" s="1"/>
  <c r="AM55" i="1" s="1"/>
  <c r="AK55" i="1" a="1"/>
  <c r="AK55" i="1" s="1"/>
  <c r="Z55" i="1"/>
  <c r="M55" i="1"/>
  <c r="L55" i="1"/>
  <c r="K55" i="1"/>
  <c r="J55" i="1"/>
  <c r="I55" i="1"/>
  <c r="AS54" i="1" a="1"/>
  <c r="AS54" i="1" s="1"/>
  <c r="AQ54" i="1" a="1"/>
  <c r="AQ54" i="1" s="1"/>
  <c r="AN54" i="1" a="1"/>
  <c r="AN54" i="1" s="1"/>
  <c r="AL54" i="1" a="1"/>
  <c r="AL54" i="1" s="1"/>
  <c r="AM54" i="1" s="1"/>
  <c r="AK54" i="1" a="1"/>
  <c r="AK54" i="1" s="1"/>
  <c r="Z54" i="1"/>
  <c r="M54" i="1"/>
  <c r="L54" i="1"/>
  <c r="K54" i="1"/>
  <c r="J54" i="1"/>
  <c r="I54" i="1"/>
  <c r="AS53" i="1"/>
  <c r="AS53" i="1" a="1"/>
  <c r="AQ53" i="1" a="1"/>
  <c r="AQ53" i="1" s="1"/>
  <c r="AN53" i="1" a="1"/>
  <c r="AN53" i="1" s="1"/>
  <c r="AL53" i="1" a="1"/>
  <c r="AL53" i="1" s="1"/>
  <c r="AM53" i="1" s="1"/>
  <c r="AK53" i="1" a="1"/>
  <c r="AK53" i="1" s="1"/>
  <c r="Z53" i="1"/>
  <c r="M53" i="1"/>
  <c r="L53" i="1"/>
  <c r="K53" i="1"/>
  <c r="J53" i="1"/>
  <c r="I53" i="1"/>
  <c r="AS52" i="1" a="1"/>
  <c r="AS52" i="1" s="1"/>
  <c r="AQ52" i="1" a="1"/>
  <c r="AQ52" i="1" s="1"/>
  <c r="AN52" i="1" a="1"/>
  <c r="AN52" i="1" s="1"/>
  <c r="AL52" i="1" a="1"/>
  <c r="AL52" i="1" s="1"/>
  <c r="AK52" i="1" a="1"/>
  <c r="AK52" i="1" s="1"/>
  <c r="Z52" i="1"/>
  <c r="M52" i="1"/>
  <c r="L52" i="1"/>
  <c r="K52" i="1"/>
  <c r="J52" i="1"/>
  <c r="I52" i="1"/>
  <c r="AS51" i="1" a="1"/>
  <c r="AS51" i="1" s="1"/>
  <c r="AQ51" i="1" a="1"/>
  <c r="AQ51" i="1" s="1"/>
  <c r="AN51" i="1" a="1"/>
  <c r="AN51" i="1" s="1"/>
  <c r="AL51" i="1" a="1"/>
  <c r="AL51" i="1" s="1"/>
  <c r="AM51" i="1" s="1"/>
  <c r="AK51" i="1" a="1"/>
  <c r="AK51" i="1" s="1"/>
  <c r="Z51" i="1"/>
  <c r="M51" i="1"/>
  <c r="L51" i="1"/>
  <c r="K51" i="1"/>
  <c r="J51" i="1"/>
  <c r="I51" i="1"/>
  <c r="AS50" i="1"/>
  <c r="AS50" i="1" a="1"/>
  <c r="AQ50" i="1" a="1"/>
  <c r="AQ50" i="1" s="1"/>
  <c r="AN50" i="1" a="1"/>
  <c r="AN50" i="1" s="1"/>
  <c r="AL50" i="1" a="1"/>
  <c r="AL50" i="1" s="1"/>
  <c r="AM50" i="1" s="1"/>
  <c r="AK50" i="1" a="1"/>
  <c r="AK50" i="1" s="1"/>
  <c r="Z50" i="1"/>
  <c r="M50" i="1"/>
  <c r="L50" i="1"/>
  <c r="K50" i="1"/>
  <c r="J50" i="1"/>
  <c r="I50" i="1"/>
  <c r="AS49" i="1" a="1"/>
  <c r="AS49" i="1" s="1"/>
  <c r="AQ49" i="1" a="1"/>
  <c r="AQ49" i="1" s="1"/>
  <c r="AN49" i="1" a="1"/>
  <c r="AN49" i="1" s="1"/>
  <c r="AL49" i="1" a="1"/>
  <c r="AL49" i="1" s="1"/>
  <c r="AM49" i="1" s="1"/>
  <c r="AK49" i="1" a="1"/>
  <c r="AK49" i="1" s="1"/>
  <c r="Z49" i="1"/>
  <c r="M49" i="1"/>
  <c r="L49" i="1"/>
  <c r="K49" i="1"/>
  <c r="J49" i="1"/>
  <c r="I49" i="1"/>
  <c r="AS48" i="1" a="1"/>
  <c r="AS48" i="1" s="1"/>
  <c r="AQ48" i="1" a="1"/>
  <c r="AQ48" i="1" s="1"/>
  <c r="AN48" i="1" a="1"/>
  <c r="AN48" i="1" s="1"/>
  <c r="AL48" i="1" a="1"/>
  <c r="AL48" i="1" s="1"/>
  <c r="AK48" i="1"/>
  <c r="AK48" i="1" a="1"/>
  <c r="Z48" i="1"/>
  <c r="M48" i="1"/>
  <c r="L48" i="1"/>
  <c r="K48" i="1"/>
  <c r="J48" i="1"/>
  <c r="I48" i="1"/>
  <c r="AS47" i="1" a="1"/>
  <c r="AS47" i="1" s="1"/>
  <c r="AQ47" i="1" a="1"/>
  <c r="AQ47" i="1" s="1"/>
  <c r="AN47" i="1" a="1"/>
  <c r="AN47" i="1" s="1"/>
  <c r="AL47" i="1" a="1"/>
  <c r="AL47" i="1" s="1"/>
  <c r="AM47" i="1" s="1"/>
  <c r="AK47" i="1" a="1"/>
  <c r="AK47" i="1" s="1"/>
  <c r="Z47" i="1"/>
  <c r="M47" i="1"/>
  <c r="L47" i="1"/>
  <c r="K47" i="1"/>
  <c r="J47" i="1"/>
  <c r="I47" i="1"/>
  <c r="AS46" i="1" a="1"/>
  <c r="AS46" i="1" s="1"/>
  <c r="AQ46" i="1" a="1"/>
  <c r="AQ46" i="1" s="1"/>
  <c r="AN46" i="1"/>
  <c r="AN46" i="1" a="1"/>
  <c r="AL46" i="1"/>
  <c r="AM46" i="1" s="1"/>
  <c r="AL46" i="1" a="1"/>
  <c r="AK46" i="1" a="1"/>
  <c r="AK46" i="1" s="1"/>
  <c r="Z46" i="1"/>
  <c r="M46" i="1"/>
  <c r="L46" i="1"/>
  <c r="K46" i="1"/>
  <c r="J46" i="1"/>
  <c r="I46" i="1"/>
  <c r="AS45" i="1" a="1"/>
  <c r="AS45" i="1" s="1"/>
  <c r="AQ45" i="1" a="1"/>
  <c r="AQ45" i="1" s="1"/>
  <c r="AN45" i="1" a="1"/>
  <c r="AN45" i="1" s="1"/>
  <c r="AL45" i="1" a="1"/>
  <c r="AL45" i="1" s="1"/>
  <c r="AM45" i="1" s="1"/>
  <c r="AK45" i="1" a="1"/>
  <c r="AK45" i="1" s="1"/>
  <c r="Z45" i="1"/>
  <c r="M45" i="1"/>
  <c r="L45" i="1"/>
  <c r="K45" i="1"/>
  <c r="J45" i="1"/>
  <c r="I45" i="1"/>
  <c r="AS44" i="1" a="1"/>
  <c r="AS44" i="1" s="1"/>
  <c r="AQ44" i="1" a="1"/>
  <c r="AQ44" i="1" s="1"/>
  <c r="AN44" i="1" a="1"/>
  <c r="AN44" i="1" s="1"/>
  <c r="AL44" i="1" a="1"/>
  <c r="AL44" i="1" s="1"/>
  <c r="AK44" i="1" a="1"/>
  <c r="AK44" i="1" s="1"/>
  <c r="Z44" i="1"/>
  <c r="M44" i="1"/>
  <c r="L44" i="1"/>
  <c r="K44" i="1"/>
  <c r="J44" i="1"/>
  <c r="I44" i="1"/>
  <c r="AS43" i="1" a="1"/>
  <c r="AS43" i="1" s="1"/>
  <c r="AQ43" i="1" a="1"/>
  <c r="AQ43" i="1" s="1"/>
  <c r="AN43" i="1" a="1"/>
  <c r="AN43" i="1" s="1"/>
  <c r="AL43" i="1" a="1"/>
  <c r="AL43" i="1" s="1"/>
  <c r="AM43" i="1" s="1"/>
  <c r="AK43" i="1" a="1"/>
  <c r="AK43" i="1" s="1"/>
  <c r="Z43" i="1"/>
  <c r="M43" i="1"/>
  <c r="L43" i="1"/>
  <c r="K43" i="1"/>
  <c r="J43" i="1"/>
  <c r="I43" i="1"/>
  <c r="AS42" i="1" a="1"/>
  <c r="AS42" i="1" s="1"/>
  <c r="AQ42" i="1" a="1"/>
  <c r="AQ42" i="1" s="1"/>
  <c r="AN42" i="1" a="1"/>
  <c r="AN42" i="1" s="1"/>
  <c r="AL42" i="1" a="1"/>
  <c r="AL42" i="1" s="1"/>
  <c r="AM42" i="1" s="1"/>
  <c r="AK42" i="1" a="1"/>
  <c r="AK42" i="1" s="1"/>
  <c r="Z42" i="1"/>
  <c r="M42" i="1"/>
  <c r="L42" i="1"/>
  <c r="K42" i="1"/>
  <c r="J42" i="1"/>
  <c r="I42" i="1"/>
  <c r="AS41" i="1" a="1"/>
  <c r="AS41" i="1" s="1"/>
  <c r="AQ41" i="1" a="1"/>
  <c r="AQ41" i="1" s="1"/>
  <c r="AN41" i="1" a="1"/>
  <c r="AN41" i="1" s="1"/>
  <c r="AL41" i="1" a="1"/>
  <c r="AL41" i="1" s="1"/>
  <c r="AM41" i="1" s="1"/>
  <c r="AK41" i="1"/>
  <c r="AK41" i="1" a="1"/>
  <c r="Z41" i="1"/>
  <c r="M41" i="1"/>
  <c r="L41" i="1"/>
  <c r="K41" i="1"/>
  <c r="J41" i="1"/>
  <c r="I41" i="1"/>
  <c r="AS40" i="1" a="1"/>
  <c r="AS40" i="1" s="1"/>
  <c r="AQ40" i="1" a="1"/>
  <c r="AQ40" i="1" s="1"/>
  <c r="AN40" i="1" a="1"/>
  <c r="AN40" i="1" s="1"/>
  <c r="AL40" i="1" a="1"/>
  <c r="AL40" i="1" s="1"/>
  <c r="AK40" i="1" a="1"/>
  <c r="AK40" i="1" s="1"/>
  <c r="Z40" i="1"/>
  <c r="M40" i="1"/>
  <c r="L40" i="1"/>
  <c r="K40" i="1"/>
  <c r="J40" i="1"/>
  <c r="I40" i="1"/>
  <c r="AS39" i="1" a="1"/>
  <c r="AS39" i="1" s="1"/>
  <c r="AQ39" i="1" a="1"/>
  <c r="AQ39" i="1" s="1"/>
  <c r="AN39" i="1" a="1"/>
  <c r="AN39" i="1" s="1"/>
  <c r="AL39" i="1"/>
  <c r="AM39" i="1" s="1"/>
  <c r="AL39" i="1" a="1"/>
  <c r="AK39" i="1" a="1"/>
  <c r="AK39" i="1" s="1"/>
  <c r="Z39" i="1"/>
  <c r="M39" i="1"/>
  <c r="L39" i="1"/>
  <c r="K39" i="1"/>
  <c r="J39" i="1"/>
  <c r="I39" i="1"/>
  <c r="AS38" i="1" a="1"/>
  <c r="AS38" i="1" s="1"/>
  <c r="AQ38" i="1" a="1"/>
  <c r="AQ38" i="1" s="1"/>
  <c r="AN38" i="1" a="1"/>
  <c r="AN38" i="1" s="1"/>
  <c r="AL38" i="1" a="1"/>
  <c r="AL38" i="1" s="1"/>
  <c r="AM38" i="1" s="1"/>
  <c r="AK38" i="1" a="1"/>
  <c r="AK38" i="1" s="1"/>
  <c r="Z38" i="1"/>
  <c r="M38" i="1"/>
  <c r="L38" i="1"/>
  <c r="K38" i="1"/>
  <c r="J38" i="1"/>
  <c r="I38" i="1"/>
  <c r="AS37" i="1" a="1"/>
  <c r="AS37" i="1" s="1"/>
  <c r="AQ37" i="1" a="1"/>
  <c r="AQ37" i="1" s="1"/>
  <c r="AN37" i="1" a="1"/>
  <c r="AN37" i="1" s="1"/>
  <c r="AL37" i="1" a="1"/>
  <c r="AL37" i="1" s="1"/>
  <c r="AK37" i="1" a="1"/>
  <c r="AK37" i="1" s="1"/>
  <c r="Z37" i="1"/>
  <c r="M37" i="1"/>
  <c r="L37" i="1"/>
  <c r="K37" i="1"/>
  <c r="J37" i="1"/>
  <c r="I37" i="1"/>
  <c r="AS36" i="1" a="1"/>
  <c r="AS36" i="1" s="1"/>
  <c r="AQ36" i="1" a="1"/>
  <c r="AQ36" i="1" s="1"/>
  <c r="AN36" i="1" a="1"/>
  <c r="AN36" i="1" s="1"/>
  <c r="AL36" i="1" a="1"/>
  <c r="AL36" i="1" s="1"/>
  <c r="AM36" i="1" s="1"/>
  <c r="AK36" i="1" a="1"/>
  <c r="AK36" i="1" s="1"/>
  <c r="Z36" i="1"/>
  <c r="M36" i="1"/>
  <c r="L36" i="1"/>
  <c r="K36" i="1"/>
  <c r="J36" i="1"/>
  <c r="I36" i="1"/>
  <c r="AS35" i="1" a="1"/>
  <c r="AS35" i="1" s="1"/>
  <c r="AQ35" i="1" a="1"/>
  <c r="AQ35" i="1" s="1"/>
  <c r="AN35" i="1" a="1"/>
  <c r="AN35" i="1" s="1"/>
  <c r="AL35" i="1" a="1"/>
  <c r="AL35" i="1" s="1"/>
  <c r="AM35" i="1" s="1"/>
  <c r="AK35" i="1" a="1"/>
  <c r="AK35" i="1" s="1"/>
  <c r="Z35" i="1"/>
  <c r="M35" i="1"/>
  <c r="L35" i="1"/>
  <c r="K35" i="1"/>
  <c r="J35" i="1"/>
  <c r="I35" i="1"/>
  <c r="AS34" i="1" a="1"/>
  <c r="AS34" i="1" s="1"/>
  <c r="AQ34" i="1" a="1"/>
  <c r="AQ34" i="1" s="1"/>
  <c r="AN34" i="1" a="1"/>
  <c r="AN34" i="1" s="1"/>
  <c r="AO34" i="1" s="1"/>
  <c r="AL34" i="1" a="1"/>
  <c r="AL34" i="1" s="1"/>
  <c r="AM34" i="1" s="1"/>
  <c r="AK34" i="1" a="1"/>
  <c r="AK34" i="1" s="1"/>
  <c r="Z34" i="1"/>
  <c r="M34" i="1"/>
  <c r="L34" i="1"/>
  <c r="K34" i="1"/>
  <c r="J34" i="1"/>
  <c r="I34" i="1"/>
  <c r="AS33" i="1" a="1"/>
  <c r="AS33" i="1" s="1"/>
  <c r="AQ33" i="1" a="1"/>
  <c r="AQ33" i="1" s="1"/>
  <c r="AN33" i="1" a="1"/>
  <c r="AN33" i="1" s="1"/>
  <c r="AL33" i="1" a="1"/>
  <c r="AL33" i="1" s="1"/>
  <c r="AK33" i="1" a="1"/>
  <c r="AK33" i="1" s="1"/>
  <c r="Z33" i="1"/>
  <c r="M33" i="1"/>
  <c r="L33" i="1"/>
  <c r="K33" i="1"/>
  <c r="J33" i="1"/>
  <c r="I33" i="1"/>
  <c r="AS32" i="1" a="1"/>
  <c r="AS32" i="1" s="1"/>
  <c r="AQ32" i="1" a="1"/>
  <c r="AQ32" i="1" s="1"/>
  <c r="AN32" i="1" a="1"/>
  <c r="AN32" i="1" s="1"/>
  <c r="AL32" i="1" a="1"/>
  <c r="AL32" i="1" s="1"/>
  <c r="AM32" i="1" s="1"/>
  <c r="AK32" i="1" a="1"/>
  <c r="AK32" i="1" s="1"/>
  <c r="Z32" i="1"/>
  <c r="M32" i="1"/>
  <c r="L32" i="1"/>
  <c r="K32" i="1"/>
  <c r="J32" i="1"/>
  <c r="I32" i="1"/>
  <c r="AS31" i="1" a="1"/>
  <c r="AS31" i="1" s="1"/>
  <c r="AQ31" i="1" a="1"/>
  <c r="AQ31" i="1" s="1"/>
  <c r="AN31" i="1" a="1"/>
  <c r="AN31" i="1" s="1"/>
  <c r="AO31" i="1" s="1"/>
  <c r="AL31" i="1" a="1"/>
  <c r="AL31" i="1" s="1"/>
  <c r="AM31" i="1" s="1"/>
  <c r="AK31" i="1" a="1"/>
  <c r="AK31" i="1" s="1"/>
  <c r="Z31" i="1"/>
  <c r="M31" i="1"/>
  <c r="L31" i="1"/>
  <c r="K31" i="1"/>
  <c r="J31" i="1"/>
  <c r="I31" i="1"/>
  <c r="AS30" i="1" a="1"/>
  <c r="AS30" i="1" s="1"/>
  <c r="AQ30" i="1" a="1"/>
  <c r="AQ30" i="1" s="1"/>
  <c r="AN30" i="1" a="1"/>
  <c r="AN30" i="1" s="1"/>
  <c r="AO30" i="1" s="1"/>
  <c r="AL30" i="1" a="1"/>
  <c r="AL30" i="1" s="1"/>
  <c r="AM30" i="1" s="1"/>
  <c r="AK30" i="1" a="1"/>
  <c r="AK30" i="1" s="1"/>
  <c r="Z30" i="1"/>
  <c r="M30" i="1"/>
  <c r="L30" i="1"/>
  <c r="K30" i="1"/>
  <c r="J30" i="1"/>
  <c r="I30" i="1"/>
  <c r="AS29" i="1" a="1"/>
  <c r="AS29" i="1" s="1"/>
  <c r="AQ29" i="1" a="1"/>
  <c r="AQ29" i="1" s="1"/>
  <c r="AN29" i="1" a="1"/>
  <c r="AN29" i="1" s="1"/>
  <c r="AL29" i="1" a="1"/>
  <c r="AL29" i="1" s="1"/>
  <c r="AM29" i="1" s="1"/>
  <c r="AK29" i="1" a="1"/>
  <c r="AK29" i="1" s="1"/>
  <c r="Z29" i="1"/>
  <c r="M29" i="1"/>
  <c r="L29" i="1"/>
  <c r="K29" i="1"/>
  <c r="J29" i="1"/>
  <c r="I29" i="1"/>
  <c r="AS28" i="1" a="1"/>
  <c r="AS28" i="1" s="1"/>
  <c r="AQ28" i="1" a="1"/>
  <c r="AQ28" i="1" s="1"/>
  <c r="AO28" i="1"/>
  <c r="AN28" i="1" a="1"/>
  <c r="AN28" i="1" s="1"/>
  <c r="AL28" i="1" a="1"/>
  <c r="AL28" i="1" s="1"/>
  <c r="AM28" i="1" s="1"/>
  <c r="AK28" i="1"/>
  <c r="AK28" i="1" a="1"/>
  <c r="Z28" i="1"/>
  <c r="M28" i="1"/>
  <c r="L28" i="1"/>
  <c r="K28" i="1"/>
  <c r="J28" i="1"/>
  <c r="I28" i="1"/>
  <c r="AS27" i="1" a="1"/>
  <c r="AS27" i="1" s="1"/>
  <c r="AQ27" i="1" a="1"/>
  <c r="AQ27" i="1" s="1"/>
  <c r="AO27" i="1"/>
  <c r="AP27" i="1" s="1"/>
  <c r="AN27" i="1" a="1"/>
  <c r="AN27" i="1" s="1"/>
  <c r="AL27" i="1" a="1"/>
  <c r="AL27" i="1" s="1"/>
  <c r="AM27" i="1" s="1"/>
  <c r="AK27" i="1" a="1"/>
  <c r="AK27" i="1" s="1"/>
  <c r="Z27" i="1"/>
  <c r="M27" i="1"/>
  <c r="L27" i="1"/>
  <c r="K27" i="1"/>
  <c r="J27" i="1"/>
  <c r="I27" i="1"/>
  <c r="AS26" i="1" a="1"/>
  <c r="AS26" i="1" s="1"/>
  <c r="AQ26" i="1" a="1"/>
  <c r="AQ26" i="1" s="1"/>
  <c r="AN26" i="1" a="1"/>
  <c r="AN26" i="1" s="1"/>
  <c r="AL26" i="1" a="1"/>
  <c r="AL26" i="1" s="1"/>
  <c r="AM26" i="1" s="1"/>
  <c r="AK26" i="1" a="1"/>
  <c r="AK26" i="1" s="1"/>
  <c r="Z26" i="1"/>
  <c r="M26" i="1"/>
  <c r="L26" i="1"/>
  <c r="K26" i="1"/>
  <c r="J26" i="1"/>
  <c r="I26" i="1"/>
  <c r="AS25" i="1" a="1"/>
  <c r="AS25" i="1" s="1"/>
  <c r="AQ25" i="1" a="1"/>
  <c r="AQ25" i="1" s="1"/>
  <c r="AN25" i="1" a="1"/>
  <c r="AN25" i="1" s="1"/>
  <c r="AO25" i="1" s="1"/>
  <c r="AL25" i="1" a="1"/>
  <c r="AL25" i="1" s="1"/>
  <c r="AM25" i="1" s="1"/>
  <c r="AK25" i="1" a="1"/>
  <c r="AK25" i="1" s="1"/>
  <c r="Z25" i="1"/>
  <c r="M25" i="1"/>
  <c r="L25" i="1"/>
  <c r="K25" i="1"/>
  <c r="J25" i="1"/>
  <c r="I25" i="1"/>
  <c r="AS24" i="1" a="1"/>
  <c r="AS24" i="1" s="1"/>
  <c r="AQ24" i="1" a="1"/>
  <c r="AQ24" i="1" s="1"/>
  <c r="AN24" i="1" a="1"/>
  <c r="AN24" i="1" s="1"/>
  <c r="AL24" i="1"/>
  <c r="AM24" i="1" s="1"/>
  <c r="AL24" i="1" a="1"/>
  <c r="AK24" i="1"/>
  <c r="AK24" i="1" a="1"/>
  <c r="Z24" i="1"/>
  <c r="M24" i="1"/>
  <c r="L24" i="1"/>
  <c r="K24" i="1"/>
  <c r="J24" i="1"/>
  <c r="I24" i="1"/>
  <c r="AS23" i="1" a="1"/>
  <c r="AS23" i="1" s="1"/>
  <c r="AQ23" i="1" a="1"/>
  <c r="AQ23" i="1" s="1"/>
  <c r="AN23" i="1" a="1"/>
  <c r="AN23" i="1" s="1"/>
  <c r="AO23" i="1" s="1"/>
  <c r="AL23" i="1" a="1"/>
  <c r="AL23" i="1" s="1"/>
  <c r="AM23" i="1" s="1"/>
  <c r="AK23" i="1" a="1"/>
  <c r="AK23" i="1" s="1"/>
  <c r="Z23" i="1"/>
  <c r="M23" i="1"/>
  <c r="L23" i="1"/>
  <c r="K23" i="1"/>
  <c r="J23" i="1"/>
  <c r="I23" i="1"/>
  <c r="AS22" i="1" a="1"/>
  <c r="AS22" i="1" s="1"/>
  <c r="AQ22" i="1" a="1"/>
  <c r="AQ22" i="1" s="1"/>
  <c r="AN22" i="1" a="1"/>
  <c r="AN22" i="1" s="1"/>
  <c r="AL22" i="1" a="1"/>
  <c r="AL22" i="1" s="1"/>
  <c r="AM22" i="1" s="1"/>
  <c r="AK22" i="1"/>
  <c r="AK22" i="1" a="1"/>
  <c r="Z22" i="1"/>
  <c r="M22" i="1"/>
  <c r="L22" i="1"/>
  <c r="K22" i="1"/>
  <c r="J22" i="1"/>
  <c r="I22" i="1"/>
  <c r="AS21" i="1" a="1"/>
  <c r="AS21" i="1" s="1"/>
  <c r="AQ21" i="1" a="1"/>
  <c r="AQ21" i="1" s="1"/>
  <c r="AN21" i="1" a="1"/>
  <c r="AN21" i="1" s="1"/>
  <c r="AO21" i="1" s="1"/>
  <c r="AL21" i="1" a="1"/>
  <c r="AL21" i="1" s="1"/>
  <c r="AM21" i="1" s="1"/>
  <c r="AK21" i="1" a="1"/>
  <c r="AK21" i="1" s="1"/>
  <c r="Z21" i="1"/>
  <c r="M21" i="1"/>
  <c r="L21" i="1"/>
  <c r="K21" i="1"/>
  <c r="J21" i="1"/>
  <c r="I21" i="1"/>
  <c r="AS20" i="1" a="1"/>
  <c r="AS20" i="1" s="1"/>
  <c r="AQ20" i="1" a="1"/>
  <c r="AQ20" i="1" s="1"/>
  <c r="AN20" i="1" a="1"/>
  <c r="AN20" i="1" s="1"/>
  <c r="AO20" i="1" s="1"/>
  <c r="AL20" i="1" a="1"/>
  <c r="AL20" i="1" s="1"/>
  <c r="AM20" i="1" s="1"/>
  <c r="AK20" i="1" a="1"/>
  <c r="AK20" i="1" s="1"/>
  <c r="Z20" i="1"/>
  <c r="M20" i="1"/>
  <c r="L20" i="1"/>
  <c r="K20" i="1"/>
  <c r="J20" i="1"/>
  <c r="I20" i="1"/>
  <c r="AS19" i="1" a="1"/>
  <c r="AS19" i="1" s="1"/>
  <c r="AQ19" i="1" a="1"/>
  <c r="AQ19" i="1" s="1"/>
  <c r="AN19" i="1" a="1"/>
  <c r="AN19" i="1" s="1"/>
  <c r="AL19" i="1"/>
  <c r="AM19" i="1" s="1"/>
  <c r="AL19" i="1" a="1"/>
  <c r="AK19" i="1" a="1"/>
  <c r="AK19" i="1" s="1"/>
  <c r="Z19" i="1"/>
  <c r="M19" i="1"/>
  <c r="L19" i="1"/>
  <c r="K19" i="1"/>
  <c r="J19" i="1"/>
  <c r="I19" i="1"/>
  <c r="AS18" i="1" a="1"/>
  <c r="AS18" i="1" s="1"/>
  <c r="AQ18" i="1" a="1"/>
  <c r="AQ18" i="1" s="1"/>
  <c r="AN18" i="1" a="1"/>
  <c r="AN18" i="1" s="1"/>
  <c r="AL18" i="1" a="1"/>
  <c r="AL18" i="1" s="1"/>
  <c r="AM18" i="1" s="1"/>
  <c r="AK18" i="1" a="1"/>
  <c r="AK18" i="1" s="1"/>
  <c r="Z18" i="1"/>
  <c r="M18" i="1"/>
  <c r="L18" i="1"/>
  <c r="K18" i="1"/>
  <c r="J18" i="1"/>
  <c r="I18" i="1"/>
  <c r="AS17" i="1" a="1"/>
  <c r="AS17" i="1" s="1"/>
  <c r="AQ17" i="1" a="1"/>
  <c r="AQ17" i="1" s="1"/>
  <c r="AN17" i="1" a="1"/>
  <c r="AN17" i="1" s="1"/>
  <c r="AL17" i="1" a="1"/>
  <c r="AL17" i="1" s="1"/>
  <c r="AM17" i="1" s="1"/>
  <c r="AK17" i="1" a="1"/>
  <c r="AK17" i="1" s="1"/>
  <c r="Z17" i="1"/>
  <c r="M17" i="1"/>
  <c r="L17" i="1"/>
  <c r="K17" i="1"/>
  <c r="J17" i="1"/>
  <c r="I17" i="1"/>
  <c r="AS16" i="1" a="1"/>
  <c r="AS16" i="1" s="1"/>
  <c r="AQ16" i="1" a="1"/>
  <c r="AQ16" i="1" s="1"/>
  <c r="AN16" i="1"/>
  <c r="AO16" i="1" s="1"/>
  <c r="AN16" i="1" a="1"/>
  <c r="AL16" i="1" a="1"/>
  <c r="AL16" i="1" s="1"/>
  <c r="AM16" i="1" s="1"/>
  <c r="AK16" i="1" a="1"/>
  <c r="AK16" i="1" s="1"/>
  <c r="Z16" i="1"/>
  <c r="M16" i="1"/>
  <c r="L16" i="1"/>
  <c r="K16" i="1"/>
  <c r="J16" i="1"/>
  <c r="I16" i="1"/>
  <c r="AS15" i="1" a="1"/>
  <c r="AS15" i="1" s="1"/>
  <c r="AQ15" i="1"/>
  <c r="AQ15" i="1" a="1"/>
  <c r="AN15" i="1" a="1"/>
  <c r="AN15" i="1" s="1"/>
  <c r="AL15" i="1" a="1"/>
  <c r="AL15" i="1" s="1"/>
  <c r="AM15" i="1" s="1"/>
  <c r="AK15" i="1" a="1"/>
  <c r="AK15" i="1" s="1"/>
  <c r="Z15" i="1"/>
  <c r="M15" i="1"/>
  <c r="L15" i="1"/>
  <c r="K15" i="1"/>
  <c r="J15" i="1"/>
  <c r="I15" i="1"/>
  <c r="AS14" i="1" a="1"/>
  <c r="AS14" i="1" s="1"/>
  <c r="AQ14" i="1" a="1"/>
  <c r="AQ14" i="1" s="1"/>
  <c r="AN14" i="1" a="1"/>
  <c r="AN14" i="1" s="1"/>
  <c r="AO14" i="1" s="1"/>
  <c r="AL14" i="1" a="1"/>
  <c r="AL14" i="1" s="1"/>
  <c r="AM14" i="1" s="1"/>
  <c r="AK14" i="1" a="1"/>
  <c r="AK14" i="1" s="1"/>
  <c r="Z14" i="1"/>
  <c r="W14" i="1"/>
  <c r="V14" i="1"/>
  <c r="M14" i="1"/>
  <c r="L14" i="1"/>
  <c r="K14" i="1"/>
  <c r="J14" i="1"/>
  <c r="I14" i="1"/>
  <c r="AS13" i="1" a="1"/>
  <c r="AS13" i="1" s="1"/>
  <c r="AQ13" i="1" a="1"/>
  <c r="AQ13" i="1" s="1"/>
  <c r="AN13" i="1" a="1"/>
  <c r="AN13" i="1" s="1"/>
  <c r="AL13" i="1" a="1"/>
  <c r="AL13" i="1" s="1"/>
  <c r="AM13" i="1" s="1"/>
  <c r="AK13" i="1" a="1"/>
  <c r="AK13" i="1" s="1"/>
  <c r="Z13" i="1"/>
  <c r="W13" i="1"/>
  <c r="V13" i="1"/>
  <c r="M13" i="1"/>
  <c r="L13" i="1"/>
  <c r="K13" i="1"/>
  <c r="J13" i="1"/>
  <c r="I13" i="1"/>
  <c r="AS12" i="1" a="1"/>
  <c r="AS12" i="1" s="1"/>
  <c r="AQ12" i="1" a="1"/>
  <c r="AQ12" i="1" s="1"/>
  <c r="AN12" i="1" a="1"/>
  <c r="AN12" i="1" s="1"/>
  <c r="AO12" i="1" s="1"/>
  <c r="AP12" i="1" s="1"/>
  <c r="AL12" i="1" a="1"/>
  <c r="AL12" i="1" s="1"/>
  <c r="AM12" i="1" s="1"/>
  <c r="AK12" i="1" a="1"/>
  <c r="AK12" i="1" s="1"/>
  <c r="Z12" i="1"/>
  <c r="W12" i="1"/>
  <c r="V12" i="1"/>
  <c r="M12" i="1"/>
  <c r="L12" i="1"/>
  <c r="K12" i="1"/>
  <c r="J12" i="1"/>
  <c r="I12" i="1"/>
  <c r="AS11" i="1" a="1"/>
  <c r="AS11" i="1" s="1"/>
  <c r="AQ11" i="1" a="1"/>
  <c r="AQ11" i="1" s="1"/>
  <c r="AN11" i="1" a="1"/>
  <c r="AN11" i="1" s="1"/>
  <c r="AO11" i="1" s="1"/>
  <c r="AL11" i="1" a="1"/>
  <c r="AL11" i="1" s="1"/>
  <c r="AM11" i="1" s="1"/>
  <c r="AK11" i="1" a="1"/>
  <c r="AK11" i="1" s="1"/>
  <c r="Z11" i="1"/>
  <c r="W11" i="1"/>
  <c r="V11" i="1"/>
  <c r="Q11" i="1"/>
  <c r="M11" i="1"/>
  <c r="L11" i="1"/>
  <c r="K11" i="1"/>
  <c r="J11" i="1"/>
  <c r="I11" i="1"/>
  <c r="AS10" i="1" a="1"/>
  <c r="AS10" i="1" s="1"/>
  <c r="AQ10" i="1"/>
  <c r="AQ10" i="1" a="1"/>
  <c r="AN10" i="1" a="1"/>
  <c r="AN10" i="1" s="1"/>
  <c r="AO10" i="1" s="1"/>
  <c r="AL10" i="1" a="1"/>
  <c r="AL10" i="1" s="1"/>
  <c r="AM10" i="1" s="1"/>
  <c r="AK10" i="1"/>
  <c r="AK10" i="1" a="1"/>
  <c r="Z10" i="1"/>
  <c r="W10" i="1"/>
  <c r="V10" i="1"/>
  <c r="M10" i="1"/>
  <c r="L10" i="1"/>
  <c r="K10" i="1"/>
  <c r="J10" i="1"/>
  <c r="I10" i="1"/>
  <c r="AS9" i="1" a="1"/>
  <c r="AS9" i="1" s="1"/>
  <c r="AQ9" i="1" a="1"/>
  <c r="AQ9" i="1" s="1"/>
  <c r="AN9" i="1" a="1"/>
  <c r="AN9" i="1" s="1"/>
  <c r="AL9" i="1" a="1"/>
  <c r="AL9" i="1" s="1"/>
  <c r="AM9" i="1" s="1"/>
  <c r="AK9" i="1" a="1"/>
  <c r="AK9" i="1" s="1"/>
  <c r="Z9" i="1"/>
  <c r="W9" i="1"/>
  <c r="V9" i="1"/>
  <c r="M9" i="1"/>
  <c r="L9" i="1"/>
  <c r="K9" i="1"/>
  <c r="J9" i="1"/>
  <c r="I9" i="1"/>
  <c r="AS8" i="1" a="1"/>
  <c r="AS8" i="1" s="1"/>
  <c r="AQ8" i="1" a="1"/>
  <c r="AQ8" i="1" s="1"/>
  <c r="AN8" i="1" a="1"/>
  <c r="AN8" i="1" s="1"/>
  <c r="AL8" i="1" a="1"/>
  <c r="AL8" i="1" s="1"/>
  <c r="AM8" i="1" s="1"/>
  <c r="AK8" i="1" a="1"/>
  <c r="AK8" i="1" s="1"/>
  <c r="Z8" i="1"/>
  <c r="W8" i="1"/>
  <c r="V8" i="1"/>
  <c r="M8" i="1"/>
  <c r="L8" i="1"/>
  <c r="K8" i="1"/>
  <c r="J8" i="1"/>
  <c r="I8" i="1"/>
  <c r="AS7" i="1" a="1"/>
  <c r="AS7" i="1" s="1"/>
  <c r="AQ7" i="1" a="1"/>
  <c r="AQ7" i="1" s="1"/>
  <c r="AN7" i="1" a="1"/>
  <c r="AN7" i="1" s="1"/>
  <c r="AL7" i="1" a="1"/>
  <c r="AL7" i="1" s="1"/>
  <c r="AM7" i="1" s="1"/>
  <c r="AK7" i="1" a="1"/>
  <c r="AK7" i="1" s="1"/>
  <c r="Z7" i="1"/>
  <c r="W7" i="1"/>
  <c r="V7" i="1"/>
  <c r="M7" i="1"/>
  <c r="L7" i="1"/>
  <c r="K7" i="1"/>
  <c r="J7" i="1"/>
  <c r="I7" i="1"/>
  <c r="AS6" i="1" a="1"/>
  <c r="AS6" i="1" s="1"/>
  <c r="AQ6" i="1" a="1"/>
  <c r="AQ6" i="1" s="1"/>
  <c r="AN6" i="1"/>
  <c r="AN6" i="1" a="1"/>
  <c r="AL6" i="1" a="1"/>
  <c r="AL6" i="1" s="1"/>
  <c r="AM6" i="1" s="1"/>
  <c r="AK6" i="1" a="1"/>
  <c r="AK6" i="1" s="1"/>
  <c r="Z6" i="1"/>
  <c r="W6" i="1"/>
  <c r="V6" i="1"/>
  <c r="M6" i="1"/>
  <c r="L6" i="1"/>
  <c r="K6" i="1"/>
  <c r="J6" i="1"/>
  <c r="I6" i="1"/>
  <c r="AS5" i="1" a="1"/>
  <c r="AS5" i="1" s="1"/>
  <c r="AQ5" i="1" a="1"/>
  <c r="AQ5" i="1" s="1"/>
  <c r="AN5" i="1"/>
  <c r="AO5" i="1" s="1"/>
  <c r="AP5" i="1" s="1"/>
  <c r="AN5" i="1" a="1"/>
  <c r="AL5" i="1" a="1"/>
  <c r="AL5" i="1" s="1"/>
  <c r="AM5" i="1" s="1"/>
  <c r="AK5" i="1" a="1"/>
  <c r="AK5" i="1" s="1"/>
  <c r="Z5" i="1"/>
  <c r="M5" i="1"/>
  <c r="L5" i="1"/>
  <c r="K5" i="1"/>
  <c r="J5" i="1"/>
  <c r="I5" i="1"/>
  <c r="AS4" i="1" a="1"/>
  <c r="AS4" i="1" s="1"/>
  <c r="AQ4" i="1" a="1"/>
  <c r="AQ4" i="1" s="1"/>
  <c r="AN4" i="1" a="1"/>
  <c r="AN4" i="1" s="1"/>
  <c r="AL4" i="1" a="1"/>
  <c r="AL4" i="1" s="1"/>
  <c r="AM4" i="1" s="1"/>
  <c r="AK4" i="1" a="1"/>
  <c r="AK4" i="1" s="1"/>
  <c r="Z4" i="1"/>
  <c r="M4" i="1"/>
  <c r="L4" i="1"/>
  <c r="K4" i="1"/>
  <c r="J4" i="1"/>
  <c r="I4" i="1"/>
  <c r="AS3" i="1" a="1"/>
  <c r="AS3" i="1" s="1"/>
  <c r="AQ3" i="1" a="1"/>
  <c r="AQ3" i="1" s="1"/>
  <c r="AN3" i="1" a="1"/>
  <c r="AN3" i="1" s="1"/>
  <c r="AL3" i="1" a="1"/>
  <c r="AL3" i="1" s="1"/>
  <c r="AM3" i="1" s="1"/>
  <c r="AK3" i="1" a="1"/>
  <c r="AK3" i="1" s="1"/>
  <c r="Z3" i="1"/>
  <c r="M3" i="1"/>
  <c r="L3" i="1"/>
  <c r="K3" i="1"/>
  <c r="J3" i="1"/>
  <c r="I3" i="1"/>
  <c r="AS2" i="1" a="1"/>
  <c r="AS2" i="1" s="1"/>
  <c r="AQ2" i="1" a="1"/>
  <c r="AQ2" i="1" s="1"/>
  <c r="AN2" i="1" a="1"/>
  <c r="AN2" i="1" s="1"/>
  <c r="AL2" i="1" a="1"/>
  <c r="AL2" i="1" s="1"/>
  <c r="AK2" i="1" a="1"/>
  <c r="AK2" i="1" s="1"/>
  <c r="Z2" i="1"/>
  <c r="Q2" i="1"/>
  <c r="M2" i="1"/>
  <c r="L2" i="1"/>
  <c r="K2" i="1"/>
  <c r="J2" i="1"/>
  <c r="I2" i="1"/>
  <c r="Q1" i="1"/>
  <c r="AO132" i="1" l="1"/>
  <c r="AP132" i="1" s="1"/>
  <c r="AR132" i="1" s="1" a="1"/>
  <c r="AR132" i="1" s="1"/>
  <c r="Q10" i="1"/>
  <c r="Q6" i="1"/>
  <c r="AO140" i="1"/>
  <c r="AP140" i="1" s="1"/>
  <c r="AR140" i="1" s="1" a="1"/>
  <c r="AR140" i="1" s="1"/>
  <c r="AO128" i="1"/>
  <c r="AP128" i="1" s="1"/>
  <c r="AR128" i="1" s="1" a="1"/>
  <c r="AR128" i="1" s="1"/>
  <c r="AO55" i="1"/>
  <c r="AP55" i="1" s="1"/>
  <c r="AR55" i="1" s="1" a="1"/>
  <c r="AR55" i="1" s="1"/>
  <c r="AO18" i="1"/>
  <c r="AP18" i="1" s="1"/>
  <c r="AR18" i="1" s="1" a="1"/>
  <c r="AR18" i="1" s="1"/>
  <c r="AP148" i="1"/>
  <c r="AO148" i="1"/>
  <c r="X22" i="1"/>
  <c r="Q7" i="1"/>
  <c r="X21" i="1"/>
  <c r="AP68" i="1"/>
  <c r="AR68" i="1" s="1" a="1"/>
  <c r="AR68" i="1" s="1"/>
  <c r="AO104" i="1"/>
  <c r="AP104" i="1" s="1"/>
  <c r="AR104" i="1" s="1" a="1"/>
  <c r="AR104" i="1" s="1"/>
  <c r="AO108" i="1"/>
  <c r="AP108" i="1" s="1"/>
  <c r="AR108" i="1" s="1" a="1"/>
  <c r="AR108" i="1" s="1"/>
  <c r="AR116" i="1" a="1"/>
  <c r="AR116" i="1" s="1"/>
  <c r="AR124" i="1" a="1"/>
  <c r="AR124" i="1" s="1"/>
  <c r="Q9" i="1"/>
  <c r="X4" i="1"/>
  <c r="W15" i="1"/>
  <c r="X16" i="1"/>
  <c r="AR27" i="1" a="1"/>
  <c r="AR27" i="1" s="1"/>
  <c r="AO89" i="1"/>
  <c r="AR112" i="1" a="1"/>
  <c r="AR112" i="1" s="1"/>
  <c r="AO136" i="1"/>
  <c r="AP136" i="1" s="1"/>
  <c r="V15" i="1"/>
  <c r="V17" i="1" s="1"/>
  <c r="V18" i="1" s="1"/>
  <c r="AR64" i="1" a="1"/>
  <c r="AR64" i="1" s="1"/>
  <c r="Q8" i="1"/>
  <c r="X8" i="1"/>
  <c r="X3" i="1"/>
  <c r="X17" i="1"/>
  <c r="X26" i="1"/>
  <c r="AO83" i="1"/>
  <c r="AO144" i="1"/>
  <c r="AP144" i="1" s="1"/>
  <c r="AR144" i="1" s="1" a="1"/>
  <c r="AR144" i="1" s="1"/>
  <c r="AO17" i="1"/>
  <c r="AP17" i="1" s="1"/>
  <c r="AR17" i="1" s="1" a="1"/>
  <c r="AR17" i="1" s="1"/>
  <c r="AO7" i="1"/>
  <c r="AP7" i="1" s="1"/>
  <c r="AO8" i="1"/>
  <c r="AM2" i="1"/>
  <c r="AO3" i="1"/>
  <c r="AP3" i="1" s="1"/>
  <c r="AR3" i="1" s="1" a="1"/>
  <c r="AR3" i="1" s="1"/>
  <c r="AO2" i="1"/>
  <c r="AP2" i="1" s="1"/>
  <c r="AO4" i="1"/>
  <c r="AP4" i="1"/>
  <c r="AO26" i="1"/>
  <c r="AP26" i="1" s="1"/>
  <c r="AR5" i="1" a="1"/>
  <c r="AR5" i="1" s="1"/>
  <c r="AR12" i="1" a="1"/>
  <c r="AR12" i="1" s="1"/>
  <c r="AO22" i="1"/>
  <c r="AP22" i="1" s="1"/>
  <c r="X9" i="1"/>
  <c r="X10" i="1"/>
  <c r="X11" i="1"/>
  <c r="AP11" i="1"/>
  <c r="AR11" i="1" s="1" a="1"/>
  <c r="AR11" i="1" s="1"/>
  <c r="X19" i="1"/>
  <c r="AP23" i="1"/>
  <c r="AR23" i="1" s="1" a="1"/>
  <c r="AR23" i="1" s="1"/>
  <c r="X31" i="1"/>
  <c r="X35" i="1"/>
  <c r="AM44" i="1"/>
  <c r="AO45" i="1"/>
  <c r="AP45" i="1" s="1"/>
  <c r="AR45" i="1" s="1" a="1"/>
  <c r="AR45" i="1" s="1"/>
  <c r="X52" i="1"/>
  <c r="AM56" i="1"/>
  <c r="X60" i="1"/>
  <c r="X2" i="1"/>
  <c r="AO9" i="1"/>
  <c r="AP9" i="1" s="1"/>
  <c r="AR9" i="1" s="1" a="1"/>
  <c r="AR9" i="1" s="1"/>
  <c r="AP10" i="1"/>
  <c r="AR10" i="1" s="1" a="1"/>
  <c r="AR10" i="1" s="1"/>
  <c r="AO13" i="1"/>
  <c r="AP13" i="1" s="1"/>
  <c r="AO15" i="1"/>
  <c r="X20" i="1"/>
  <c r="X23" i="1"/>
  <c r="X24" i="1"/>
  <c r="X25" i="1"/>
  <c r="AP28" i="1"/>
  <c r="AR28" i="1" s="1" a="1"/>
  <c r="AR28" i="1" s="1"/>
  <c r="AO29" i="1"/>
  <c r="AP29" i="1" s="1"/>
  <c r="AR29" i="1" s="1" a="1"/>
  <c r="AR29" i="1" s="1"/>
  <c r="AM33" i="1"/>
  <c r="AO39" i="1"/>
  <c r="AP39" i="1" s="1"/>
  <c r="AR39" i="1" s="1" a="1"/>
  <c r="AR39" i="1" s="1"/>
  <c r="X40" i="1"/>
  <c r="AO44" i="1"/>
  <c r="AP44" i="1" s="1"/>
  <c r="AO47" i="1"/>
  <c r="AP47" i="1"/>
  <c r="AR47" i="1" s="1" a="1"/>
  <c r="AR47" i="1" s="1"/>
  <c r="X48" i="1"/>
  <c r="AO56" i="1"/>
  <c r="AO6" i="1"/>
  <c r="X149" i="1"/>
  <c r="X145" i="1"/>
  <c r="X141" i="1"/>
  <c r="X137" i="1"/>
  <c r="X133" i="1"/>
  <c r="X129" i="1"/>
  <c r="X125" i="1"/>
  <c r="X121" i="1"/>
  <c r="X117" i="1"/>
  <c r="X151" i="1"/>
  <c r="X143" i="1"/>
  <c r="X93" i="1"/>
  <c r="X88" i="1"/>
  <c r="X84" i="1"/>
  <c r="X131" i="1"/>
  <c r="X127" i="1"/>
  <c r="X103" i="1"/>
  <c r="X113" i="1"/>
  <c r="X101" i="1"/>
  <c r="X139" i="1"/>
  <c r="X109" i="1"/>
  <c r="X98" i="1"/>
  <c r="X119" i="1"/>
  <c r="X105" i="1"/>
  <c r="X90" i="1"/>
  <c r="X86" i="1"/>
  <c r="X82" i="1"/>
  <c r="X147" i="1"/>
  <c r="X135" i="1"/>
  <c r="X115" i="1"/>
  <c r="X102" i="1"/>
  <c r="X95" i="1"/>
  <c r="X87" i="1"/>
  <c r="X97" i="1"/>
  <c r="X67" i="1"/>
  <c r="X61" i="1"/>
  <c r="X57" i="1"/>
  <c r="X53" i="1"/>
  <c r="X49" i="1"/>
  <c r="X45" i="1"/>
  <c r="X41" i="1"/>
  <c r="X75" i="1"/>
  <c r="X62" i="1"/>
  <c r="X58" i="1"/>
  <c r="X54" i="1"/>
  <c r="X50" i="1"/>
  <c r="X46" i="1"/>
  <c r="X42" i="1"/>
  <c r="X13" i="1"/>
  <c r="X15" i="1"/>
  <c r="X30" i="1"/>
  <c r="AO33" i="1"/>
  <c r="AP33" i="1" s="1"/>
  <c r="X34" i="1"/>
  <c r="AO36" i="1"/>
  <c r="X37" i="1"/>
  <c r="X43" i="1"/>
  <c r="X59" i="1"/>
  <c r="X65" i="1"/>
  <c r="AP21" i="1"/>
  <c r="AR21" i="1" s="1" a="1"/>
  <c r="AR21" i="1" s="1"/>
  <c r="X29" i="1"/>
  <c r="X51" i="1"/>
  <c r="AM52" i="1"/>
  <c r="AR59" i="1" a="1"/>
  <c r="AR59" i="1" s="1"/>
  <c r="AP60" i="1"/>
  <c r="AR60" i="1" s="1" a="1"/>
  <c r="AR60" i="1" s="1"/>
  <c r="AO60" i="1"/>
  <c r="AO63" i="1"/>
  <c r="AP63" i="1" s="1"/>
  <c r="AO66" i="1"/>
  <c r="AP66" i="1" s="1"/>
  <c r="X7" i="1"/>
  <c r="X5" i="1"/>
  <c r="AP14" i="1"/>
  <c r="AR14" i="1" s="1" a="1"/>
  <c r="AR14" i="1" s="1"/>
  <c r="AP16" i="1"/>
  <c r="AR16" i="1" s="1" a="1"/>
  <c r="AR16" i="1" s="1"/>
  <c r="X27" i="1"/>
  <c r="X28" i="1"/>
  <c r="AO32" i="1"/>
  <c r="AO38" i="1"/>
  <c r="AM40" i="1"/>
  <c r="AO41" i="1"/>
  <c r="AP41" i="1" s="1"/>
  <c r="AM48" i="1"/>
  <c r="AR48" i="1" s="1" a="1"/>
  <c r="AR48" i="1" s="1"/>
  <c r="AO49" i="1"/>
  <c r="AP49" i="1" s="1"/>
  <c r="AR49" i="1" s="1" a="1"/>
  <c r="AR49" i="1" s="1"/>
  <c r="AO52" i="1"/>
  <c r="AP52" i="1" s="1"/>
  <c r="AR52" i="1" s="1" a="1"/>
  <c r="AR52" i="1" s="1"/>
  <c r="X6" i="1"/>
  <c r="X12" i="1"/>
  <c r="X18" i="1"/>
  <c r="AP31" i="1"/>
  <c r="AR31" i="1" s="1" a="1"/>
  <c r="AR31" i="1" s="1"/>
  <c r="X33" i="1"/>
  <c r="AO35" i="1"/>
  <c r="X36" i="1"/>
  <c r="X39" i="1"/>
  <c r="AP40" i="1"/>
  <c r="AO40" i="1"/>
  <c r="AO43" i="1"/>
  <c r="AP43" i="1"/>
  <c r="AR43" i="1" s="1" a="1"/>
  <c r="AR43" i="1" s="1"/>
  <c r="X44" i="1"/>
  <c r="AO48" i="1"/>
  <c r="AP48" i="1" s="1"/>
  <c r="X55" i="1"/>
  <c r="X56" i="1"/>
  <c r="AM65" i="1"/>
  <c r="X14" i="1"/>
  <c r="AO19" i="1"/>
  <c r="AP19" i="1" s="1"/>
  <c r="X47" i="1"/>
  <c r="AO51" i="1"/>
  <c r="AP51" i="1" s="1"/>
  <c r="X63" i="1"/>
  <c r="AO65" i="1"/>
  <c r="AP65" i="1" s="1"/>
  <c r="X66" i="1"/>
  <c r="X71" i="1"/>
  <c r="AP20" i="1"/>
  <c r="AR20" i="1" s="1" a="1"/>
  <c r="AR20" i="1" s="1"/>
  <c r="AO24" i="1"/>
  <c r="AP24" i="1" s="1"/>
  <c r="AP25" i="1"/>
  <c r="AR25" i="1" s="1" a="1"/>
  <c r="AR25" i="1" s="1"/>
  <c r="AP30" i="1"/>
  <c r="AR30" i="1" s="1" a="1"/>
  <c r="AR30" i="1" s="1"/>
  <c r="X32" i="1"/>
  <c r="AP34" i="1"/>
  <c r="AR34" i="1" s="1" a="1"/>
  <c r="AR34" i="1" s="1"/>
  <c r="AO37" i="1"/>
  <c r="AP37" i="1" s="1"/>
  <c r="X38" i="1"/>
  <c r="AM37" i="1"/>
  <c r="X68" i="1"/>
  <c r="X69" i="1"/>
  <c r="X70" i="1"/>
  <c r="AO74" i="1"/>
  <c r="AO76" i="1"/>
  <c r="AP76" i="1" s="1"/>
  <c r="AR76" i="1" s="1" a="1"/>
  <c r="AR76" i="1" s="1"/>
  <c r="X77" i="1"/>
  <c r="X78" i="1"/>
  <c r="AO82" i="1"/>
  <c r="X83" i="1"/>
  <c r="AO91" i="1"/>
  <c r="AP91" i="1" s="1"/>
  <c r="AR91" i="1" s="1" a="1"/>
  <c r="AR91" i="1" s="1"/>
  <c r="AO105" i="1"/>
  <c r="AP105" i="1" s="1"/>
  <c r="AR105" i="1" s="1" a="1"/>
  <c r="AR105" i="1" s="1"/>
  <c r="AO109" i="1"/>
  <c r="AP109" i="1" s="1"/>
  <c r="AO42" i="1"/>
  <c r="AO46" i="1"/>
  <c r="AO50" i="1"/>
  <c r="AP50" i="1" s="1"/>
  <c r="AO54" i="1"/>
  <c r="AP54" i="1" s="1"/>
  <c r="AR54" i="1" s="1" a="1"/>
  <c r="AR54" i="1" s="1"/>
  <c r="AO58" i="1"/>
  <c r="AP58" i="1" s="1"/>
  <c r="AO62" i="1"/>
  <c r="AP62" i="1" s="1"/>
  <c r="AR62" i="1" s="1" a="1"/>
  <c r="AR62" i="1" s="1"/>
  <c r="X64" i="1"/>
  <c r="AO71" i="1"/>
  <c r="AP71" i="1" s="1"/>
  <c r="AP72" i="1"/>
  <c r="AR72" i="1" s="1" a="1"/>
  <c r="AR72" i="1" s="1"/>
  <c r="AO75" i="1"/>
  <c r="AP75" i="1" s="1"/>
  <c r="AO98" i="1"/>
  <c r="AP98" i="1" s="1"/>
  <c r="AR98" i="1" s="1" a="1"/>
  <c r="AR98" i="1" s="1"/>
  <c r="X99" i="1"/>
  <c r="AO103" i="1"/>
  <c r="AP103" i="1" s="1"/>
  <c r="X73" i="1"/>
  <c r="X74" i="1"/>
  <c r="AO80" i="1"/>
  <c r="X81" i="1"/>
  <c r="AO93" i="1"/>
  <c r="AP93" i="1" s="1"/>
  <c r="AR93" i="1" s="1" a="1"/>
  <c r="AR93" i="1" s="1"/>
  <c r="AO107" i="1"/>
  <c r="AP107" i="1" s="1"/>
  <c r="AR107" i="1" s="1" a="1"/>
  <c r="AR107" i="1" s="1"/>
  <c r="AO115" i="1"/>
  <c r="AP115" i="1" s="1"/>
  <c r="AR115" i="1" s="1" a="1"/>
  <c r="AR115" i="1" s="1"/>
  <c r="AO53" i="1"/>
  <c r="AP53" i="1" s="1"/>
  <c r="AO57" i="1"/>
  <c r="AP57" i="1" s="1"/>
  <c r="AR57" i="1" s="1" a="1"/>
  <c r="AR57" i="1" s="1"/>
  <c r="AO61" i="1"/>
  <c r="AP61" i="1" s="1"/>
  <c r="AR61" i="1" s="1" a="1"/>
  <c r="AR61" i="1" s="1"/>
  <c r="X72" i="1"/>
  <c r="X76" i="1"/>
  <c r="AP79" i="1"/>
  <c r="AO84" i="1"/>
  <c r="X85" i="1"/>
  <c r="X94" i="1"/>
  <c r="AO95" i="1"/>
  <c r="AP95" i="1" s="1"/>
  <c r="AO97" i="1"/>
  <c r="AP97" i="1" s="1"/>
  <c r="AO102" i="1"/>
  <c r="AP102" i="1" s="1"/>
  <c r="AO90" i="1"/>
  <c r="AP90" i="1" s="1"/>
  <c r="AR90" i="1" s="1" a="1"/>
  <c r="AR90" i="1" s="1"/>
  <c r="X91" i="1"/>
  <c r="AP110" i="1"/>
  <c r="AR114" i="1" a="1"/>
  <c r="AR114" i="1" s="1"/>
  <c r="AR120" i="1" a="1"/>
  <c r="AR120" i="1" s="1"/>
  <c r="X123" i="1"/>
  <c r="AP67" i="1"/>
  <c r="AR67" i="1" s="1" a="1"/>
  <c r="AR67" i="1" s="1"/>
  <c r="AP69" i="1"/>
  <c r="AR69" i="1" s="1" a="1"/>
  <c r="AR69" i="1" s="1"/>
  <c r="AP77" i="1"/>
  <c r="AR77" i="1" s="1" a="1"/>
  <c r="AR77" i="1" s="1"/>
  <c r="AO86" i="1"/>
  <c r="AP86" i="1" s="1"/>
  <c r="X111" i="1"/>
  <c r="AM117" i="1"/>
  <c r="AM125" i="1"/>
  <c r="AP78" i="1"/>
  <c r="AO78" i="1"/>
  <c r="X79" i="1"/>
  <c r="AR79" i="1" a="1"/>
  <c r="AR79" i="1" s="1"/>
  <c r="X80" i="1"/>
  <c r="AR100" i="1" a="1"/>
  <c r="AR100" i="1" s="1"/>
  <c r="AO101" i="1"/>
  <c r="AP101" i="1" s="1"/>
  <c r="X107" i="1"/>
  <c r="AO70" i="1"/>
  <c r="AP70" i="1" s="1"/>
  <c r="AP73" i="1"/>
  <c r="AR73" i="1" s="1" a="1"/>
  <c r="AR73" i="1" s="1"/>
  <c r="AP81" i="1"/>
  <c r="AR81" i="1" s="1" a="1"/>
  <c r="AR81" i="1" s="1"/>
  <c r="AO85" i="1"/>
  <c r="AO88" i="1"/>
  <c r="AP88" i="1" s="1"/>
  <c r="X89" i="1"/>
  <c r="AO94" i="1"/>
  <c r="AP94" i="1" s="1"/>
  <c r="AO113" i="1"/>
  <c r="AP113" i="1" s="1"/>
  <c r="AM129" i="1"/>
  <c r="AP99" i="1"/>
  <c r="AR99" i="1" s="1" a="1"/>
  <c r="AR99" i="1" s="1"/>
  <c r="X108" i="1"/>
  <c r="AO117" i="1"/>
  <c r="AP117" i="1" s="1"/>
  <c r="AM133" i="1"/>
  <c r="X136" i="1"/>
  <c r="X142" i="1"/>
  <c r="AO146" i="1"/>
  <c r="AP146" i="1" s="1"/>
  <c r="AR146" i="1" s="1" a="1"/>
  <c r="AR146" i="1" s="1"/>
  <c r="AO147" i="1"/>
  <c r="AP147" i="1" s="1"/>
  <c r="X112" i="1"/>
  <c r="X116" i="1"/>
  <c r="AO133" i="1"/>
  <c r="AP133" i="1" s="1"/>
  <c r="AM145" i="1"/>
  <c r="X148" i="1"/>
  <c r="AO87" i="1"/>
  <c r="AP87" i="1" s="1"/>
  <c r="X100" i="1"/>
  <c r="X118" i="1"/>
  <c r="AO119" i="1"/>
  <c r="AP119" i="1" s="1"/>
  <c r="AR119" i="1" s="1" a="1"/>
  <c r="AR119" i="1" s="1"/>
  <c r="AO121" i="1"/>
  <c r="AO122" i="1"/>
  <c r="X134" i="1"/>
  <c r="AO138" i="1"/>
  <c r="AP138" i="1" s="1"/>
  <c r="AR138" i="1" s="1" a="1"/>
  <c r="AR138" i="1" s="1"/>
  <c r="AO139" i="1"/>
  <c r="AP139" i="1" s="1"/>
  <c r="AR139" i="1" s="1" a="1"/>
  <c r="AR139" i="1" s="1"/>
  <c r="AO145" i="1"/>
  <c r="AP145" i="1"/>
  <c r="AR148" i="1" a="1"/>
  <c r="AR148" i="1" s="1"/>
  <c r="AO150" i="1"/>
  <c r="AO92" i="1"/>
  <c r="AO106" i="1"/>
  <c r="X120" i="1"/>
  <c r="AM137" i="1"/>
  <c r="X140" i="1"/>
  <c r="X146" i="1"/>
  <c r="X92" i="1"/>
  <c r="AO96" i="1"/>
  <c r="AO110" i="1"/>
  <c r="X122" i="1"/>
  <c r="AO123" i="1"/>
  <c r="AP123" i="1" s="1"/>
  <c r="AO125" i="1"/>
  <c r="AP125" i="1" s="1"/>
  <c r="AR125" i="1" s="1" a="1"/>
  <c r="AR125" i="1" s="1"/>
  <c r="AO126" i="1"/>
  <c r="AP126" i="1" s="1"/>
  <c r="AR126" i="1" s="1" a="1"/>
  <c r="AR126" i="1" s="1"/>
  <c r="AP127" i="1"/>
  <c r="AR127" i="1" s="1" a="1"/>
  <c r="AR127" i="1" s="1"/>
  <c r="AO130" i="1"/>
  <c r="AP130" i="1" s="1"/>
  <c r="AO131" i="1"/>
  <c r="AP131" i="1" s="1"/>
  <c r="AR131" i="1" s="1" a="1"/>
  <c r="AR131" i="1" s="1"/>
  <c r="AO137" i="1"/>
  <c r="AP137" i="1" s="1"/>
  <c r="X96" i="1"/>
  <c r="X106" i="1"/>
  <c r="X124" i="1"/>
  <c r="AO129" i="1"/>
  <c r="AP129" i="1" s="1"/>
  <c r="X132" i="1"/>
  <c r="X138" i="1"/>
  <c r="AO142" i="1"/>
  <c r="AP142" i="1" s="1"/>
  <c r="AO143" i="1"/>
  <c r="AP143" i="1" s="1"/>
  <c r="AR143" i="1" s="1" a="1"/>
  <c r="AR143" i="1" s="1"/>
  <c r="AO149" i="1"/>
  <c r="X110" i="1"/>
  <c r="AP111" i="1"/>
  <c r="AR111" i="1" s="1" a="1"/>
  <c r="AR111" i="1" s="1"/>
  <c r="X126" i="1"/>
  <c r="X128" i="1"/>
  <c r="AM141" i="1"/>
  <c r="X144" i="1"/>
  <c r="X150" i="1"/>
  <c r="X104" i="1"/>
  <c r="AO111" i="1"/>
  <c r="X114" i="1"/>
  <c r="AP118" i="1"/>
  <c r="AR118" i="1" s="1" a="1"/>
  <c r="AR118" i="1" s="1"/>
  <c r="X130" i="1"/>
  <c r="AO134" i="1"/>
  <c r="AP134" i="1" s="1"/>
  <c r="AO135" i="1"/>
  <c r="AP135" i="1" s="1"/>
  <c r="AR135" i="1" s="1" a="1"/>
  <c r="AR135" i="1" s="1"/>
  <c r="AO141" i="1"/>
  <c r="AP141" i="1" s="1"/>
  <c r="AR141" i="1" s="1" a="1"/>
  <c r="AR141" i="1" s="1"/>
  <c r="AO151" i="1"/>
  <c r="AP151" i="1" s="1"/>
  <c r="AR2" i="1" l="1" a="1"/>
  <c r="AR2" i="1" s="1"/>
  <c r="AR51" i="1" a="1"/>
  <c r="AR51" i="1" s="1"/>
  <c r="AR7" i="1" a="1"/>
  <c r="AR7" i="1" s="1"/>
  <c r="Q4" i="1"/>
  <c r="AR110" i="1" a="1"/>
  <c r="AR110" i="1" s="1"/>
  <c r="AR123" i="1" a="1"/>
  <c r="AR123" i="1" s="1"/>
  <c r="AR101" i="1" a="1"/>
  <c r="AR101" i="1" s="1"/>
  <c r="AR86" i="1" a="1"/>
  <c r="AR86" i="1" s="1"/>
  <c r="AR37" i="1" a="1"/>
  <c r="AR37" i="1" s="1"/>
  <c r="AR136" i="1" a="1"/>
  <c r="AR136" i="1" s="1"/>
  <c r="AP89" i="1"/>
  <c r="AR89" i="1" s="1" a="1"/>
  <c r="AR89" i="1" s="1"/>
  <c r="AR147" i="1" a="1"/>
  <c r="AR147" i="1" s="1"/>
  <c r="AR50" i="1" a="1"/>
  <c r="AR50" i="1" s="1"/>
  <c r="AP106" i="1"/>
  <c r="AR106" i="1" s="1" a="1"/>
  <c r="AR106" i="1" s="1"/>
  <c r="AP84" i="1"/>
  <c r="AR84" i="1" s="1" a="1"/>
  <c r="AR84" i="1" s="1"/>
  <c r="AR82" i="1" a="1"/>
  <c r="AR82" i="1" s="1"/>
  <c r="AP74" i="1"/>
  <c r="AR74" i="1" s="1" a="1"/>
  <c r="AR74" i="1" s="1"/>
  <c r="AP83" i="1"/>
  <c r="AR83" i="1" s="1" a="1"/>
  <c r="AR83" i="1" s="1"/>
  <c r="AR87" i="1" a="1"/>
  <c r="AR87" i="1" s="1"/>
  <c r="AP150" i="1"/>
  <c r="AR150" i="1" s="1" a="1"/>
  <c r="AR150" i="1" s="1"/>
  <c r="AR145" i="1" a="1"/>
  <c r="AR145" i="1" s="1"/>
  <c r="AR129" i="1" a="1"/>
  <c r="AR129" i="1" s="1"/>
  <c r="AP80" i="1"/>
  <c r="AR80" i="1" s="1" a="1"/>
  <c r="AR80" i="1" s="1"/>
  <c r="AP82" i="1"/>
  <c r="AR44" i="1" a="1"/>
  <c r="AR44" i="1" s="1"/>
  <c r="AR4" i="1" a="1"/>
  <c r="AR4" i="1" s="1"/>
  <c r="AR137" i="1" a="1"/>
  <c r="AR137" i="1" s="1"/>
  <c r="AR70" i="1" a="1"/>
  <c r="AR70" i="1" s="1"/>
  <c r="AR78" i="1" a="1"/>
  <c r="AR78" i="1" s="1"/>
  <c r="AR71" i="1" a="1"/>
  <c r="AR71" i="1" s="1"/>
  <c r="AR40" i="1" a="1"/>
  <c r="AR40" i="1" s="1"/>
  <c r="AR109" i="1" a="1"/>
  <c r="AR109" i="1" s="1"/>
  <c r="AR151" i="1" a="1"/>
  <c r="AR151" i="1" s="1"/>
  <c r="AR63" i="1" a="1"/>
  <c r="AR63" i="1" s="1"/>
  <c r="AR65" i="1" a="1"/>
  <c r="AR65" i="1" s="1"/>
  <c r="AP122" i="1"/>
  <c r="AR122" i="1" s="1" a="1"/>
  <c r="AR122" i="1" s="1"/>
  <c r="AP46" i="1"/>
  <c r="AR46" i="1" s="1" a="1"/>
  <c r="AR46" i="1" s="1"/>
  <c r="AP38" i="1"/>
  <c r="AR38" i="1" s="1" a="1"/>
  <c r="AR38" i="1" s="1"/>
  <c r="AR41" i="1" a="1"/>
  <c r="AR41" i="1" s="1"/>
  <c r="AP56" i="1"/>
  <c r="AR56" i="1" s="1" a="1"/>
  <c r="AR56" i="1" s="1"/>
  <c r="AP42" i="1"/>
  <c r="AR42" i="1" s="1" a="1"/>
  <c r="AR42" i="1" s="1"/>
  <c r="AR13" i="1" a="1"/>
  <c r="AR13" i="1" s="1"/>
  <c r="AP149" i="1"/>
  <c r="AR149" i="1" s="1" a="1"/>
  <c r="AR149" i="1" s="1"/>
  <c r="AP121" i="1"/>
  <c r="AR121" i="1" s="1" a="1"/>
  <c r="AR121" i="1" s="1"/>
  <c r="AR102" i="1" a="1"/>
  <c r="AR102" i="1" s="1"/>
  <c r="AP85" i="1"/>
  <c r="AR85" i="1" s="1" a="1"/>
  <c r="AR85" i="1" s="1"/>
  <c r="AP92" i="1"/>
  <c r="AR92" i="1" s="1" a="1"/>
  <c r="AR92" i="1" s="1"/>
  <c r="AR75" i="1" a="1"/>
  <c r="AR75" i="1" s="1"/>
  <c r="AP35" i="1"/>
  <c r="AR35" i="1" s="1" a="1"/>
  <c r="AR35" i="1" s="1"/>
  <c r="AR58" i="1" a="1"/>
  <c r="AR58" i="1" s="1"/>
  <c r="AR53" i="1" a="1"/>
  <c r="AR53" i="1" s="1"/>
  <c r="AP6" i="1"/>
  <c r="AR6" i="1" s="1" a="1"/>
  <c r="AR6" i="1" s="1"/>
  <c r="AR26" i="1" a="1"/>
  <c r="AR26" i="1" s="1"/>
  <c r="AR134" i="1" a="1"/>
  <c r="AR134" i="1" s="1"/>
  <c r="AP96" i="1"/>
  <c r="AR96" i="1" s="1" a="1"/>
  <c r="AR96" i="1" s="1"/>
  <c r="AR117" i="1" a="1"/>
  <c r="AR117" i="1" s="1"/>
  <c r="W2" i="1"/>
  <c r="AR142" i="1" a="1"/>
  <c r="AR142" i="1" s="1"/>
  <c r="AR133" i="1" a="1"/>
  <c r="AR133" i="1" s="1"/>
  <c r="AR88" i="1" a="1"/>
  <c r="AR88" i="1" s="1"/>
  <c r="AR94" i="1" a="1"/>
  <c r="AR94" i="1" s="1"/>
  <c r="AR97" i="1" a="1"/>
  <c r="AR97" i="1" s="1"/>
  <c r="AP32" i="1"/>
  <c r="AR32" i="1" s="1" a="1"/>
  <c r="AR32" i="1" s="1"/>
  <c r="AP36" i="1"/>
  <c r="AR36" i="1" s="1" a="1"/>
  <c r="AR36" i="1" s="1"/>
  <c r="AP15" i="1"/>
  <c r="AR15" i="1" s="1" a="1"/>
  <c r="AR15" i="1" s="1"/>
  <c r="AR19" i="1" a="1"/>
  <c r="AR19" i="1" s="1"/>
  <c r="AR103" i="1" a="1"/>
  <c r="AR103" i="1" s="1"/>
  <c r="AR113" i="1" a="1"/>
  <c r="AR113" i="1" s="1"/>
  <c r="AR66" i="1" a="1"/>
  <c r="AR66" i="1" s="1"/>
  <c r="AR22" i="1" a="1"/>
  <c r="AR22" i="1" s="1"/>
  <c r="AR24" i="1" a="1"/>
  <c r="AR24" i="1" s="1"/>
  <c r="AR130" i="1" a="1"/>
  <c r="AR130" i="1" s="1"/>
  <c r="AR95" i="1" a="1"/>
  <c r="AR95" i="1" s="1"/>
  <c r="AR33" i="1" a="1"/>
  <c r="AR33" i="1" s="1"/>
  <c r="AP8" i="1"/>
  <c r="AR8" i="1" s="1" a="1"/>
  <c r="AR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<sst xmlns="http://schemas.openxmlformats.org/spreadsheetml/2006/main" count="374" uniqueCount="192">
  <si>
    <t>Name</t>
  </si>
  <si>
    <t>Pos.</t>
  </si>
  <si>
    <t>Sal</t>
  </si>
  <si>
    <t>Proj. Pts</t>
  </si>
  <si>
    <t>Milly Adj.</t>
  </si>
  <si>
    <t>Rating</t>
  </si>
  <si>
    <t>In</t>
  </si>
  <si>
    <t>QB</t>
  </si>
  <si>
    <t>RB</t>
  </si>
  <si>
    <t>WR</t>
  </si>
  <si>
    <t>TE</t>
  </si>
  <si>
    <t>DST</t>
  </si>
  <si>
    <t>Salary</t>
  </si>
  <si>
    <t>Sum</t>
  </si>
  <si>
    <t>Duplicate</t>
  </si>
  <si>
    <t>Proj Pts</t>
  </si>
  <si>
    <t>Marquise Brown</t>
  </si>
  <si>
    <t>Pts</t>
  </si>
  <si>
    <t>N'Keal Harry</t>
  </si>
  <si>
    <t>Willie Snead IV</t>
  </si>
  <si>
    <t>George Kittle</t>
  </si>
  <si>
    <t>Austin Ekeler</t>
  </si>
  <si>
    <t>James White</t>
  </si>
  <si>
    <t>Raheem Mostert</t>
  </si>
  <si>
    <t>Lamar Jackson</t>
  </si>
  <si>
    <t xml:space="preserve">Saints </t>
  </si>
  <si>
    <t>Players</t>
  </si>
  <si>
    <t>Min</t>
  </si>
  <si>
    <t>Max</t>
  </si>
  <si>
    <t>Pts Proj</t>
  </si>
  <si>
    <t>Michael Thomas</t>
  </si>
  <si>
    <t>&lt;4k</t>
  </si>
  <si>
    <t>Julio Jones</t>
  </si>
  <si>
    <t>Davante Adams</t>
  </si>
  <si>
    <t>FLEX</t>
  </si>
  <si>
    <t>Tyler Lockett</t>
  </si>
  <si>
    <t>Chris Godwin</t>
  </si>
  <si>
    <t>Mike Evans</t>
  </si>
  <si>
    <t>DJ Moore</t>
  </si>
  <si>
    <t>Salary Left</t>
  </si>
  <si>
    <t>Stefon Diggs</t>
  </si>
  <si>
    <t>Avg Left/Player</t>
  </si>
  <si>
    <t>Keenan Allen</t>
  </si>
  <si>
    <t>Adam Thielen</t>
  </si>
  <si>
    <t>Julian Edelman</t>
  </si>
  <si>
    <t>DeAndre Hopkins</t>
  </si>
  <si>
    <t>Calvin Ridley</t>
  </si>
  <si>
    <t>DK Metcalf</t>
  </si>
  <si>
    <t>Allen Robinson II</t>
  </si>
  <si>
    <t>Emmanuel Sanders</t>
  </si>
  <si>
    <t>T.Y. Hilton</t>
  </si>
  <si>
    <t>DJ Chark Jr.</t>
  </si>
  <si>
    <t>John Brown</t>
  </si>
  <si>
    <t>Tyler Boyd</t>
  </si>
  <si>
    <t>Jarvis Landry</t>
  </si>
  <si>
    <t>Odell Beckham Jr.</t>
  </si>
  <si>
    <t>A.J. Green</t>
  </si>
  <si>
    <t>DeSean Jackson</t>
  </si>
  <si>
    <t>Marvin Jones Jr.</t>
  </si>
  <si>
    <t>Terry McLaurin</t>
  </si>
  <si>
    <t>Cole Beasley</t>
  </si>
  <si>
    <t>Henry Ruggs III</t>
  </si>
  <si>
    <t>Mike Williams</t>
  </si>
  <si>
    <t>DeVante Parker</t>
  </si>
  <si>
    <t>Robby Anderson</t>
  </si>
  <si>
    <t>Allen Lazard</t>
  </si>
  <si>
    <t>Curtis Samuel</t>
  </si>
  <si>
    <t>Anthony Miller</t>
  </si>
  <si>
    <t>Christian Kirk</t>
  </si>
  <si>
    <t>Russell Gage</t>
  </si>
  <si>
    <t>Kendrick Bourne</t>
  </si>
  <si>
    <t>Zach Pascal</t>
  </si>
  <si>
    <t>Danny Amendola</t>
  </si>
  <si>
    <t>Hunter Renfrow</t>
  </si>
  <si>
    <t>Parris Campbell</t>
  </si>
  <si>
    <t>Jamison Crowder</t>
  </si>
  <si>
    <t>Steven Sims Jr.</t>
  </si>
  <si>
    <t>Larry Fitzgerald</t>
  </si>
  <si>
    <t>Breshad Perriman</t>
  </si>
  <si>
    <t>Chris Conley</t>
  </si>
  <si>
    <t>Michael Pittman Jr.</t>
  </si>
  <si>
    <t>John Ross III</t>
  </si>
  <si>
    <t>Greg Ward</t>
  </si>
  <si>
    <t>Preston Williams</t>
  </si>
  <si>
    <t>Ted Ginn Jr.</t>
  </si>
  <si>
    <t>Marquez Valdes-Scantling</t>
  </si>
  <si>
    <t>Damiere Byrd</t>
  </si>
  <si>
    <t>Scotty Miller</t>
  </si>
  <si>
    <t>Phillip Dorsett II</t>
  </si>
  <si>
    <t>Dante Pettis</t>
  </si>
  <si>
    <t>Isaiah Ford</t>
  </si>
  <si>
    <t>Will Dissly</t>
  </si>
  <si>
    <t>T.J. Hockenson</t>
  </si>
  <si>
    <t>Greg Olsen</t>
  </si>
  <si>
    <t>Kyle Rudolph</t>
  </si>
  <si>
    <t>Mark Andrews</t>
  </si>
  <si>
    <t>Jack Doyle</t>
  </si>
  <si>
    <t>Zach Ertz</t>
  </si>
  <si>
    <t>Hunter Henry</t>
  </si>
  <si>
    <t>Dallas Goedert</t>
  </si>
  <si>
    <t>Darren Waller</t>
  </si>
  <si>
    <t>Austin Hooper</t>
  </si>
  <si>
    <t>Jimmy Graham</t>
  </si>
  <si>
    <t>Mike Gesicki</t>
  </si>
  <si>
    <t>Jared Cook</t>
  </si>
  <si>
    <t>Nick Boyle</t>
  </si>
  <si>
    <t>Tyler Eifert</t>
  </si>
  <si>
    <t>Hayden Hurst</t>
  </si>
  <si>
    <t>Dawson Knox</t>
  </si>
  <si>
    <t>Rob Gronkowski</t>
  </si>
  <si>
    <t>James O'Shaughnessy</t>
  </si>
  <si>
    <t>Christian McCaffrey</t>
  </si>
  <si>
    <t>Dalvin Cook</t>
  </si>
  <si>
    <t>Josh Jacobs</t>
  </si>
  <si>
    <t>Joe Mixon</t>
  </si>
  <si>
    <t>Alvin Kamara</t>
  </si>
  <si>
    <t>Nick Chubb</t>
  </si>
  <si>
    <t>Aaron Jones</t>
  </si>
  <si>
    <t>Chris Carson</t>
  </si>
  <si>
    <t>Todd Gurley II</t>
  </si>
  <si>
    <t>Boston Scott</t>
  </si>
  <si>
    <t>David Montgomery</t>
  </si>
  <si>
    <t>Kenyan Drake</t>
  </si>
  <si>
    <t>Mark Ingram II</t>
  </si>
  <si>
    <t>Marlon Mack</t>
  </si>
  <si>
    <t>Leonard Fournette</t>
  </si>
  <si>
    <t>Le'Veon Bell</t>
  </si>
  <si>
    <t>Sony Michel</t>
  </si>
  <si>
    <t>Jonathan Taylor</t>
  </si>
  <si>
    <t>Kareem Hunt</t>
  </si>
  <si>
    <t>Devin Singletary</t>
  </si>
  <si>
    <t>Tevin Coleman</t>
  </si>
  <si>
    <t>Tarik Cohen</t>
  </si>
  <si>
    <t>Ronald Jones II</t>
  </si>
  <si>
    <t>Nyheim Hines</t>
  </si>
  <si>
    <t>D'Andre Swift</t>
  </si>
  <si>
    <t>Matt Breida</t>
  </si>
  <si>
    <t>Brian Hill</t>
  </si>
  <si>
    <t>Kerryon Johnson</t>
  </si>
  <si>
    <t>Latavius Murray</t>
  </si>
  <si>
    <t>Alexander Mattison</t>
  </si>
  <si>
    <t>Jordan Howard</t>
  </si>
  <si>
    <t>Chris Thompson</t>
  </si>
  <si>
    <t>Rex Burkhead</t>
  </si>
  <si>
    <t>Peyton Barber</t>
  </si>
  <si>
    <t>J.D. McKissic</t>
  </si>
  <si>
    <t>Jalen Richard</t>
  </si>
  <si>
    <t>Russell Wilson</t>
  </si>
  <si>
    <t>Jimmy Garoppolo</t>
  </si>
  <si>
    <t>Josh Allen</t>
  </si>
  <si>
    <t>Matt Ryan</t>
  </si>
  <si>
    <t>Philip Rivers</t>
  </si>
  <si>
    <t>Aaron Rodgers</t>
  </si>
  <si>
    <t>Kirk Cousins</t>
  </si>
  <si>
    <t>Carson Wentz</t>
  </si>
  <si>
    <t>Baker Mayfield</t>
  </si>
  <si>
    <t>Tom Brady</t>
  </si>
  <si>
    <t>Kyler Murray</t>
  </si>
  <si>
    <t>Derek Carr</t>
  </si>
  <si>
    <t>Matthew Stafford</t>
  </si>
  <si>
    <t>Teddy Bridgewater</t>
  </si>
  <si>
    <t>Drew Brees</t>
  </si>
  <si>
    <t>Sam Darnold</t>
  </si>
  <si>
    <t>Ryan Fitzpatrick</t>
  </si>
  <si>
    <t>Cam Newton</t>
  </si>
  <si>
    <t>Mitchell Trubisky</t>
  </si>
  <si>
    <t>Gardner Minshew II</t>
  </si>
  <si>
    <t>Dwayne Haskins Jr.</t>
  </si>
  <si>
    <t>Joe Burrow</t>
  </si>
  <si>
    <t xml:space="preserve">Bills </t>
  </si>
  <si>
    <t xml:space="preserve">Eagles </t>
  </si>
  <si>
    <t xml:space="preserve">49ers </t>
  </si>
  <si>
    <t xml:space="preserve">Bears </t>
  </si>
  <si>
    <t xml:space="preserve">Patriots </t>
  </si>
  <si>
    <t xml:space="preserve">Ravens </t>
  </si>
  <si>
    <t xml:space="preserve">Colts </t>
  </si>
  <si>
    <t xml:space="preserve">Bengals </t>
  </si>
  <si>
    <t xml:space="preserve">Chargers </t>
  </si>
  <si>
    <t xml:space="preserve">Lions </t>
  </si>
  <si>
    <t xml:space="preserve">Packers </t>
  </si>
  <si>
    <t xml:space="preserve">Raiders </t>
  </si>
  <si>
    <t xml:space="preserve">Vikings </t>
  </si>
  <si>
    <t xml:space="preserve">Panthers </t>
  </si>
  <si>
    <t xml:space="preserve">Seahawks </t>
  </si>
  <si>
    <t xml:space="preserve">Falcons </t>
  </si>
  <si>
    <t xml:space="preserve">Jaguars </t>
  </si>
  <si>
    <t xml:space="preserve">Buccaneers </t>
  </si>
  <si>
    <t xml:space="preserve">Browns </t>
  </si>
  <si>
    <t xml:space="preserve">Jets </t>
  </si>
  <si>
    <t xml:space="preserve">Cardinals </t>
  </si>
  <si>
    <t xml:space="preserve">Dolphins </t>
  </si>
  <si>
    <t xml:space="preserve">WAS Football Team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</si>
</sst>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3" borderId="3" xfId="0" applyFill="1" applyBorder="1"/>
    <xf numFmtId="0" fontId="0" fillId="0" borderId="4" xfId="0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1" fillId="0" borderId="2" xfId="0" applyFont="1" applyBorder="1"/>
    <xf numFmtId="0" fontId="0" fillId="0" borderId="3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1" fillId="0" borderId="11" xfId="0" applyFont="1" applyBorder="1"/>
    <xf numFmtId="2" fontId="0" fillId="0" borderId="12" xfId="0" applyNumberFormat="1" applyBorder="1" applyAlignment="1">
      <alignment horizontal="center"/>
    </xf>
    <xf numFmtId="0" fontId="0" fillId="2" borderId="0" xfId="0" applyFill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1" fillId="0" borderId="5" xfId="0" applyFont="1" applyBorder="1"/>
    <xf numFmtId="0" fontId="0" fillId="0" borderId="6" xfId="0" applyBorder="1" applyAlignment="1">
      <alignment horizontal="center"/>
    </xf>
    <xf numFmtId="2" fontId="0" fillId="0" borderId="7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12700</xdr:rowOff>
        </xdr:from>
        <xdr:to>
          <xdr:col>18</xdr:col>
          <xdr:colOff>590550</xdr:colOff>
          <xdr:row>1</xdr:row>
          <xdr:rowOff>184150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A26B83C-61C8-49EC-82F0-92F6A78C7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FL%20Weekly%20Analysis%20-%20Macros%20-%20New%20P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FA"/>
      <sheetName val="ANALYSIS"/>
      <sheetName val="St.Dev"/>
      <sheetName val="DK salaries"/>
      <sheetName val="Optimizer"/>
      <sheetName val="Vegas"/>
      <sheetName val="Def Pass Ranks"/>
      <sheetName val="Def Run Ranks"/>
      <sheetName val="Snap Counts"/>
      <sheetName val="Targets"/>
      <sheetName val="Season Schedule"/>
      <sheetName val="Position Pts Formulas"/>
      <sheetName val="Instructions"/>
      <sheetName val="scratch"/>
      <sheetName val="Millionaire Winning Lineups"/>
    </sheetNames>
    <definedNames>
      <definedName name="SolverMacr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57DD-27E5-400C-90DC-A1B78DCCB8A6}">
  <sheetPr codeName="Sheet3">
    <tabColor rgb="FF0070C0"/>
  </sheetPr>
  <dimension ref="A1:BC384"/>
  <sheetViews>
    <sheetView tabSelected="1" workbookViewId="0">
      <pane xSplit="1" topLeftCell="B1" activePane="topRight" state="frozen"/>
      <selection activeCell="D15" sqref="D15"/>
      <selection pane="topRight" activeCell="L11" sqref="L11"/>
    </sheetView>
  </sheetViews>
  <sheetFormatPr defaultRowHeight="14.5" x14ac:dyDescent="0.35"/>
  <cols>
    <col min="1" max="1" width="20.54296875" bestFit="1" customWidth="1"/>
    <col min="2" max="2" width="7" style="11" bestFit="1" customWidth="1"/>
    <col min="3" max="3" width="6" style="11" bestFit="1" customWidth="1"/>
    <col min="4" max="4" width="10.54296875" bestFit="1" customWidth="1"/>
    <col min="5" max="5" width="11.81640625" style="11" bestFit="1" customWidth="1"/>
    <col min="6" max="6" width="8.81640625" bestFit="1" customWidth="1"/>
    <col min="7" max="7" width="4.26953125" style="13" customWidth="1"/>
    <col min="8" max="8" width="5" bestFit="1" customWidth="1"/>
    <col min="9" max="9" width="5.81640625" bestFit="1" customWidth="1"/>
    <col min="10" max="10" width="5.54296875" bestFit="1" customWidth="1"/>
    <col min="11" max="11" width="6.26953125" bestFit="1" customWidth="1"/>
    <col min="12" max="12" width="5.54296875" bestFit="1" customWidth="1"/>
    <col min="13" max="13" width="6.54296875" bestFit="1" customWidth="1"/>
    <col min="15" max="15" width="8.1796875" bestFit="1" customWidth="1"/>
    <col min="16" max="16" width="6" bestFit="1" customWidth="1"/>
    <col min="17" max="17" width="12" bestFit="1" customWidth="1"/>
    <col min="18" max="18" width="4.7265625" bestFit="1" customWidth="1"/>
    <col min="20" max="20" width="5" bestFit="1" customWidth="1"/>
    <col min="21" max="21" width="14.7265625" bestFit="1" customWidth="1"/>
    <col min="22" max="22" width="12" bestFit="1" customWidth="1"/>
    <col min="23" max="23" width="7.7265625" bestFit="1" customWidth="1"/>
    <col min="24" max="24" width="9.453125" bestFit="1" customWidth="1"/>
    <col min="25" max="25" width="4" bestFit="1" customWidth="1"/>
    <col min="26" max="26" width="7.7265625" bestFit="1" customWidth="1"/>
    <col min="27" max="27" width="18.54296875" bestFit="1" customWidth="1"/>
    <col min="28" max="28" width="13.54296875" bestFit="1" customWidth="1"/>
    <col min="29" max="29" width="13.81640625" bestFit="1" customWidth="1"/>
    <col min="30" max="30" width="16.1796875" bestFit="1" customWidth="1"/>
    <col min="31" max="31" width="14.54296875" bestFit="1" customWidth="1"/>
    <col min="32" max="32" width="16.1796875" bestFit="1" customWidth="1"/>
    <col min="33" max="33" width="13.81640625" bestFit="1" customWidth="1"/>
    <col min="34" max="34" width="13.54296875" bestFit="1" customWidth="1"/>
    <col min="35" max="35" width="18.54296875" bestFit="1" customWidth="1"/>
    <col min="37" max="37" width="13.54296875" bestFit="1" customWidth="1"/>
    <col min="38" max="38" width="18.54296875" bestFit="1" customWidth="1"/>
    <col min="39" max="39" width="12.7265625" bestFit="1" customWidth="1"/>
    <col min="40" max="40" width="14.54296875" bestFit="1" customWidth="1"/>
    <col min="41" max="41" width="16.1796875" bestFit="1" customWidth="1"/>
    <col min="42" max="42" width="14.54296875" bestFit="1" customWidth="1"/>
    <col min="43" max="44" width="13.81640625" bestFit="1" customWidth="1"/>
    <col min="45" max="45" width="5.81640625" bestFit="1" customWidth="1"/>
    <col min="47" max="48" width="2" bestFit="1" customWidth="1"/>
    <col min="49" max="51" width="2" customWidth="1"/>
    <col min="52" max="55" width="2" bestFit="1" customWidth="1"/>
  </cols>
  <sheetData>
    <row r="1" spans="1:55" ht="15" customHeigh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/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O1" s="5" t="s">
        <v>12</v>
      </c>
      <c r="P1" s="6">
        <v>50000</v>
      </c>
      <c r="Q1" s="7">
        <f>SUMPRODUCT(H2:H397,C2:C397)</f>
        <v>0</v>
      </c>
      <c r="S1" s="8"/>
      <c r="T1" s="8"/>
      <c r="U1" s="8"/>
      <c r="W1" s="9" t="s">
        <v>13</v>
      </c>
      <c r="X1" s="10" t="s">
        <v>14</v>
      </c>
      <c r="Z1" s="9" t="s">
        <v>15</v>
      </c>
      <c r="AA1" s="9">
        <v>1</v>
      </c>
      <c r="AB1" s="9">
        <v>2</v>
      </c>
      <c r="AC1" s="9">
        <v>3</v>
      </c>
      <c r="AD1" s="9">
        <v>4</v>
      </c>
      <c r="AE1" s="9">
        <v>5</v>
      </c>
      <c r="AF1" s="9">
        <v>6</v>
      </c>
      <c r="AG1" s="9">
        <v>7</v>
      </c>
      <c r="AH1" s="9">
        <v>8</v>
      </c>
      <c r="AI1" s="9">
        <v>9</v>
      </c>
      <c r="AK1" s="9">
        <v>1</v>
      </c>
      <c r="AL1" s="9">
        <v>2</v>
      </c>
      <c r="AM1" s="9">
        <v>3</v>
      </c>
      <c r="AN1" s="9">
        <v>4</v>
      </c>
      <c r="AO1" s="9">
        <v>5</v>
      </c>
      <c r="AP1" s="9">
        <v>6</v>
      </c>
      <c r="AQ1" s="9">
        <v>7</v>
      </c>
      <c r="AR1" s="9">
        <v>8</v>
      </c>
      <c r="AS1" s="9">
        <v>9</v>
      </c>
      <c r="AU1" s="9"/>
      <c r="AV1" s="9"/>
      <c r="AW1" s="9"/>
      <c r="AX1" s="9"/>
      <c r="AY1" s="9"/>
      <c r="AZ1" s="9"/>
      <c r="BA1" s="9"/>
      <c r="BB1" s="9"/>
      <c r="BC1" s="9"/>
    </row>
    <row r="2" spans="1:55" ht="15.75" customHeight="1" thickBot="1" x14ac:dyDescent="0.4">
      <c r="A2" t="s">
        <v>16</v>
      </c>
      <c r="B2" s="11" t="s">
        <v>9</v>
      </c>
      <c r="C2" s="11">
        <v>5100</v>
      </c>
      <c r="D2" s="12">
        <v>13.196617222222219</v>
      </c>
      <c r="E2" s="12">
        <v>14.015014265074441</v>
      </c>
      <c r="F2" s="12">
        <v>27.525405901408917</v>
      </c>
      <c r="H2" s="11">
        <v>0</v>
      </c>
      <c r="I2">
        <f>IF(B2="QB",H2*1,0)</f>
        <v>0</v>
      </c>
      <c r="J2">
        <f>IF(B2="RB",H2*1,0)</f>
        <v>0</v>
      </c>
      <c r="K2">
        <f>IF(B2="WR",H2*1,0)</f>
        <v>0</v>
      </c>
      <c r="L2">
        <f>IF(B2="TE",H2*1,0)</f>
        <v>0</v>
      </c>
      <c r="M2">
        <f>IF(B2="DST",H2*1,0)</f>
        <v>0</v>
      </c>
      <c r="O2" s="14" t="s">
        <v>17</v>
      </c>
      <c r="P2" s="15"/>
      <c r="Q2" s="16">
        <f>SUMPRODUCT(H2:H397,D2:D397)</f>
        <v>0</v>
      </c>
      <c r="S2" s="8"/>
      <c r="T2" s="8"/>
      <c r="U2" s="8"/>
      <c r="W2" s="11">
        <f>SUM(X2:X151)</f>
        <v>150</v>
      </c>
      <c r="X2" s="11">
        <f t="shared" ref="X2:X65" si="0">IF(COUNTIF($Z$2:$Z$151,Z2)&gt;1,1,0)</f>
        <v>1</v>
      </c>
      <c r="Y2" s="9">
        <v>1</v>
      </c>
      <c r="Z2" s="12">
        <f>IFERROR(SUM(VLOOKUP(AA2,$A$2:$D$1048576,4,FALSE),VLOOKUP(AB2,$A$2:$D$1048576,4,FALSE),VLOOKUP(AC2,$A$2:$D$1048576,4,FALSE),VLOOKUP(AD2,$A$2:$D$1048576,4,FALSE),VLOOKUP(AE2,$A$2:$D$1048576,4,FALSE),VLOOKUP(AF2,$A$2:$D$1048576,4,FALSE),VLOOKUP(AG2,$A$2:$D$1048576,4,FALSE),VLOOKUP(AH2,$A$2:$D$1048576,4,FALSE),VLOOKUP(AI2,$A$2:$D$1048576,4,FALSE)),0)</f>
        <v>0</v>
      </c>
      <c r="AK2" t="e" cm="1">
        <f t="array" ref="AK2">_xlfn.IFS(VLOOKUP(AA2,$A$2:$B$1048576,2,FALSE)="QB",AA2,VLOOKUP(AB2,$A$2:$B$1048576,2,FALSE)="QB",AB2,VLOOKUP(AC2,$A$2:$B$1048576,2,FALSE)="QB",AC2,VLOOKUP(AD2,$A$2:$B$1048576,2,FALSE)="QB",AD2,VLOOKUP(AE2,$A$2:$B$1048576,2,FALSE)="QB",AE2,VLOOKUP(AF2,$A$2:$B$1048576,2,FALSE)="QB",AF2,VLOOKUP(AG2,$A$2:$B$1048576,2,FALSE)="QB",AG2,VLOOKUP(AH2,$A$2:$B$1048576,2,FALSE)="QB",AH2,VLOOKUP(AI2,$A$2:$B$1048576,2,FALSE)="QB",AI2)</f>
        <v>#N/A</v>
      </c>
      <c r="AL2" t="e" cm="1">
        <f t="array" ref="AL2">_xlfn.IFS(VLOOKUP(AA2,$A$2:$B$1048576,2,FALSE)="RB",AA2,VLOOKUP(AB2,$A$2:$B$1048576,2,FALSE)="RB",AB2,VLOOKUP(AC2,$A$2:$B$1048576,2,FALSE)="RB",AC2,VLOOKUP(AD2,$A$2:$B$1048576,2,FALSE)="RB",AD2,VLOOKUP(AE2,$A$2:$B$1048576,2,FALSE)="RB",AE2,VLOOKUP(AF2,$A$2:$B$1048576,2,FALSE)="RB",AF2,VLOOKUP(AG2,$A$2:$B$1048576,2,FALSE)="RB",AG2,VLOOKUP(AH2,$A$2:$B$1048576,2,FALSE)="RB",AH2,VLOOKUP(AI2,$A$2:$B$1048576,2,FALSE)="RB",AI2)</f>
        <v>#N/A</v>
      </c>
      <c r="AM2" t="e">
        <f>IF(AND(AA2&lt;&gt;AL2,VLOOKUP(AA2,$A$2:$B$1048576,2,FALSE)="RB"),AA2,IF(AND(AB2&lt;&gt;AL2,VLOOKUP(AB2,$A$2:$B$1048576,2,FALSE)="RB"),AB2,IF(AND(AC2&lt;&gt;AL2,VLOOKUP(AC2,$A$2:$B$1048576,2,FALSE)="RB"),AC2,IF(AND(AD2&lt;&gt;AL2,VLOOKUP(AD2,$A$2:$B$1048576,2,FALSE)="RB"),AD2,IF(AND(AE2&lt;&gt;AL2,VLOOKUP(AE2,$A$2:$B$1048576,2,FALSE)="RB"),AE2,IF(AND(AF2&lt;&gt;AL2,VLOOKUP(AF2,$A$2:$B$1048576,2,FALSE)="RB"),AF2,IF(AND(AG2&lt;&gt;AL2,VLOOKUP(AG2,$A$2:$B$1048576,2,FALSE)="RB"),AG2,IF(AND(AH2&lt;&gt;AL2,VLOOKUP(AH2,$A$2:$B$1048576,2,FALSE)="RB"),AH2,IF(AND(AI2&lt;&gt;AL2,VLOOKUP(AI2,$A$2:$B$1048576,2,FALSE)="RB"),AI2,0)))))))))</f>
        <v>#N/A</v>
      </c>
      <c r="AN2" t="e" cm="1">
        <f t="array" ref="AN2">_xlfn.IFS(VLOOKUP(AA2,$A$2:$B$1048576,2,FALSE)="WR",AA2,VLOOKUP(AB2,$A$2:$B$1048576,2,FALSE)="WR",AB2,VLOOKUP(AC2,$A$2:$B$1048576,2,FALSE)="WR",AC2,VLOOKUP(AD2,$A$2:$B$1048576,2,FALSE)="WR",AD2,VLOOKUP(AE2,$A$2:$B$1048576,2,FALSE)="WR",AE2,VLOOKUP(AF2,$A$2:$B$1048576,2,FALSE)="WR",AF2,VLOOKUP(AG2,$A$2:$B$1048576,2,FALSE)="WR",AG2,VLOOKUP(AH2,$A$2:$B$1048576,2,FALSE)="WR",AH2,VLOOKUP(AI2,$A$2:$B$1048576,2,FALSE)="WR",AI2)</f>
        <v>#N/A</v>
      </c>
      <c r="AO2" t="e">
        <f>IF(AND(AA2&lt;&gt;AN2,VLOOKUP(AA2,$A$2:$B$1048576,2,FALSE)="WR"),AA2,IF(AND(AB2&lt;&gt;AN2,VLOOKUP(AB2,$A$2:$B$1048576,2,FALSE)="WR"),AB2,IF(AND(AC2&lt;&gt;AN2,VLOOKUP(AC2,$A$2:$B$1048576,2,FALSE)="WR"),AC2,IF(AND(AD2&lt;&gt;AN2,VLOOKUP(AD2,$A$2:$B$1048576,2,FALSE)="WR"),AD2,IF(AND(AE2&lt;&gt;AN2,VLOOKUP(AE2,$A$2:$B$1048576,2,FALSE)="WR"),AE2,IF(AND(AF2&lt;&gt;AN2,VLOOKUP(AF2,$A$2:$B$1048576,2,FALSE)="WR"),AF2,IF(AND(AG2&lt;&gt;AN2,VLOOKUP(AG2,$A$2:$B$1048576,2,FALSE)="WR"),AG2,IF(AND(AH2&lt;&gt;AN2,VLOOKUP(AH2,$A$2:$B$1048576,2,FALSE)="WR"),AH2,IF(AND(AI2&lt;&gt;AN2,VLOOKUP(AI2,$A$2:$B$1048576,2,FALSE)="WR"),AI2,0)))))))))</f>
        <v>#N/A</v>
      </c>
      <c r="AP2" t="e">
        <f>IF(AND(AA2&lt;&gt;AN2,OR(AA2&lt;&gt;AO2),VLOOKUP(AA2,$A$2:$B$1048576,2,FALSE)="WR"),AA2,IF(AND(AB2&lt;&gt;AN2,OR(AB2&lt;&gt;AO2),VLOOKUP(AB2,$A$2:$B$1048576,2,FALSE)="WR"),AB2,IF(AND(AC2&lt;&gt;AN2,OR(AC2&lt;&gt;AO2),VLOOKUP(AC2,$A$2:$B$1048576,2,FALSE)="WR"),AC2,IF(AND(AD2&lt;&gt;AN2,OR(AD2&lt;&gt;AO2),VLOOKUP(AD2,$A$2:$B$1048576,2,FALSE)="WR"),AD2,IF(AND(AE2&lt;&gt;AN2,OR(AE2&lt;&gt;AO2),VLOOKUP(AE2,$A$2:$B$1048576,2,FALSE)="WR"),AE2,IF(AND(AF2&lt;&gt;AN2,OR(AF2&lt;&gt;AO2),VLOOKUP(AF2,$A$2:$B$1048576,2,FALSE)="WR"),AF2,IF(AND(AG2&lt;&gt;AN2,OR(AG2&lt;&gt;AO2),VLOOKUP(AG2,$A$2:$B$1048576,2,FALSE)="WR"),AG2,IF(AND(AH2&lt;&gt;AN2,OR(AH2&lt;&gt;AO2),VLOOKUP(AH2,$A$2:$B$1048576,2,FALSE)="WR"),AH2,IF(AND(AI2&lt;&gt;AN2,OR(AI2&lt;&gt;AO2),VLOOKUP(AI2,$A$2:$B$1048576,2,FALSE)="WR"),AI2,0)))))))))</f>
        <v>#N/A</v>
      </c>
      <c r="AQ2" t="e" cm="1">
        <f t="array" ref="AQ2">_xlfn.IFS(VLOOKUP(AA2,$A$2:$B$1048576,2,FALSE)="TE",AA2,VLOOKUP(AB2,$A$2:$B$1048576,2,FALSE)="TE",AB2,VLOOKUP(AC2,$A$2:$B$1048576,2,FALSE)="TE",AC2,VLOOKUP(AD2,$A$2:$B$1048576,2,FALSE)="TE",AD2,VLOOKUP(AE2,$A$2:$B$1048576,2,FALSE)="TE",AE2,VLOOKUP(AF2,$A$2:$B$1048576,2,FALSE)="TE",AF2,VLOOKUP(AG2,$A$2:$B$1048576,2,FALSE)="TE",AG2,VLOOKUP(AH2,$A$2:$B$1048576,2,FALSE)="TE",AH2,VLOOKUP(AI2,$A$2:$B$1048576,2,FALSE)="TE",AI2)</f>
        <v>#N/A</v>
      </c>
      <c r="AR2" t="e" cm="1">
        <f t="array" ref="AR2">_xlfn.IFS(IF(OR(AA2=AK2,AA2=AL2,AA2=AM2,AA2=AN2,AA2=AO2,AA2=AP2,AA2=AQ2,AA2=AS2),1,0)=0,AA2,IF(OR(AB2=AK2,AB2=AL2,AB2=AM2,AB2=AN2,AB2=AO2,AB2=AP2,AB2=AQ2,AB2=AS2),1,0)=0,AB2,IF(OR(AC2=AK2,AC2=AL2,AC2=AM2,AC2=AN2,AC2=AO2,AC2=AP2,AC2=AQ2,AC2=AS2),1,0)=0,AC2,IF(OR(AD2=AK2,AD2=AL2,AD2=AM2,AD2=AN2,AD2=AO2,AD2=AP2,AD2=AQ2,AD2=AS2),1,0)=0,AD2,IF(OR(AE2=AK2,AE2=AL2,AE2=AM2,AE2=AN2,AE2=AO2,AE2=AP2,AE2=AQ2,AE2=AS2),1,0)=0,AE2,IF(OR(AF2=AK2,AF2=AL2,AF2=AM2,AF2=AN2,AF2=AO2,AF2=AP2,AF2=AQ2,AF2=AS2),1,0)=0,AF2,IF(OR(AG2=AK2,AG2=AL2,AG2=AM2,AG2=AN2,AG2=AO2,AG2=AP2,AG2=AQ2,AG2=AS2),1,0)=0,AG2,IF(OR(AH2=AK2,AH2=AL2,AH2=AM2,AH2=AN2,AH2=AO2,AH2=AP2,AH2=AQ2,AH2=AS2),1,0)=0,AH2,IF(OR(AI2=AK2,AI2=AL2,AI2=AM2,AI2=AN2,AI2=AO2,AI2=AP2,AI2=AQ2,AI2=AS2),1,0)=0,AI2)</f>
        <v>#N/A</v>
      </c>
      <c r="AS2" t="e" cm="1">
        <f t="array" ref="AS2">_xlfn.IFS(VLOOKUP(AA2,$A$2:$B$1048576,2,FALSE)="DST",AA2,VLOOKUP(AB2,$A$2:$B$1048576,2,FALSE)="DST",AB2,VLOOKUP(AC2,$A$2:$B$1048576,2,FALSE)="DST",AC2,VLOOKUP(AD2,$A$2:$B$1048576,2,FALSE)="DST",AD2,VLOOKUP(AE2,$A$2:$B$1048576,2,FALSE)="DST",AE2,VLOOKUP(AF2,$A$2:$B$1048576,2,FALSE)="DST",AF2,VLOOKUP(AG2,$A$2:$B$1048576,2,FALSE)="DST",AG2,VLOOKUP(AH2,$A$2:$B$1048576,2,FALSE)="DST",AH2,VLOOKUP(AI2,$A$2:$B$1048576,2,FALSE)="DST",AI2)</f>
        <v>#N/A</v>
      </c>
    </row>
    <row r="3" spans="1:55" ht="15.75" customHeight="1" thickBot="1" x14ac:dyDescent="0.4">
      <c r="A3" t="s">
        <v>18</v>
      </c>
      <c r="B3" s="11" t="s">
        <v>9</v>
      </c>
      <c r="C3" s="11">
        <v>4400</v>
      </c>
      <c r="D3" s="12">
        <v>11.212075555555554</v>
      </c>
      <c r="E3" s="12">
        <v>11.212112601510061</v>
      </c>
      <c r="F3" s="12">
        <v>21.580250506165786</v>
      </c>
      <c r="H3" s="11">
        <v>0</v>
      </c>
      <c r="I3">
        <f>IF(B3="QB",H3*1,0)</f>
        <v>0</v>
      </c>
      <c r="J3">
        <f>IF(B3="RB",H3*1,0)</f>
        <v>0</v>
      </c>
      <c r="K3">
        <f>IF(B3="WR",H3*1,0)</f>
        <v>0</v>
      </c>
      <c r="L3">
        <f>IF(B3="TE",H3*1,0)</f>
        <v>0</v>
      </c>
      <c r="M3">
        <f>IF(B3="DST",H3*1,0)</f>
        <v>0</v>
      </c>
      <c r="S3" s="8"/>
      <c r="T3" s="8"/>
      <c r="U3" s="8"/>
      <c r="X3" s="11">
        <f t="shared" si="0"/>
        <v>1</v>
      </c>
      <c r="Y3" s="9">
        <v>2</v>
      </c>
      <c r="Z3" s="12">
        <f t="shared" ref="Z3:Z66" si="1">IFERROR(SUM(VLOOKUP(AA3,$A$2:$D$1048576,4,FALSE),VLOOKUP(AB3,$A$2:$D$1048576,4,FALSE),VLOOKUP(AC3,$A$2:$D$1048576,4,FALSE),VLOOKUP(AD3,$A$2:$D$1048576,4,FALSE),VLOOKUP(AE3,$A$2:$D$1048576,4,FALSE),VLOOKUP(AF3,$A$2:$D$1048576,4,FALSE),VLOOKUP(AG3,$A$2:$D$1048576,4,FALSE),VLOOKUP(AH3,$A$2:$D$1048576,4,FALSE),VLOOKUP(AI3,$A$2:$D$1048576,4,FALSE)),0)</f>
        <v>0</v>
      </c>
      <c r="AK3" t="e" cm="1">
        <f t="array" ref="AK3">_xlfn.IFS(VLOOKUP(AA3,$A$2:$B$1048576,2,FALSE)="QB",AA3,VLOOKUP(AB3,$A$2:$B$1048576,2,FALSE)="QB",AB3,VLOOKUP(AC3,$A$2:$B$1048576,2,FALSE)="QB",AC3,VLOOKUP(AD3,$A$2:$B$1048576,2,FALSE)="QB",AD3,VLOOKUP(AE3,$A$2:$B$1048576,2,FALSE)="QB",AE3,VLOOKUP(AF3,$A$2:$B$1048576,2,FALSE)="QB",AF3,VLOOKUP(AG3,$A$2:$B$1048576,2,FALSE)="QB",AG3,VLOOKUP(AH3,$A$2:$B$1048576,2,FALSE)="QB",AH3,VLOOKUP(AI3,$A$2:$B$1048576,2,FALSE)="QB",AI3)</f>
        <v>#N/A</v>
      </c>
      <c r="AL3" t="e" cm="1">
        <f t="array" ref="AL3">_xlfn.IFS(VLOOKUP(AA3,$A$2:$B$1048576,2,FALSE)="RB",AA3,VLOOKUP(AB3,$A$2:$B$1048576,2,FALSE)="RB",AB3,VLOOKUP(AC3,$A$2:$B$1048576,2,FALSE)="RB",AC3,VLOOKUP(AD3,$A$2:$B$1048576,2,FALSE)="RB",AD3,VLOOKUP(AE3,$A$2:$B$1048576,2,FALSE)="RB",AE3,VLOOKUP(AF3,$A$2:$B$1048576,2,FALSE)="RB",AF3,VLOOKUP(AG3,$A$2:$B$1048576,2,FALSE)="RB",AG3,VLOOKUP(AH3,$A$2:$B$1048576,2,FALSE)="RB",AH3,VLOOKUP(AI3,$A$2:$B$1048576,2,FALSE)="RB",AI3)</f>
        <v>#N/A</v>
      </c>
      <c r="AM3" t="e">
        <f t="shared" ref="AM3:AM66" si="2">IF(AND(AA3&lt;&gt;AL3,VLOOKUP(AA3,$A$2:$B$1048576,2,FALSE)="RB"),AA3,IF(AND(AB3&lt;&gt;AL3,VLOOKUP(AB3,$A$2:$B$1048576,2,FALSE)="RB"),AB3,IF(AND(AC3&lt;&gt;AL3,VLOOKUP(AC3,$A$2:$B$1048576,2,FALSE)="RB"),AC3,IF(AND(AD3&lt;&gt;AL3,VLOOKUP(AD3,$A$2:$B$1048576,2,FALSE)="RB"),AD3,IF(AND(AE3&lt;&gt;AL3,VLOOKUP(AE3,$A$2:$B$1048576,2,FALSE)="RB"),AE3,IF(AND(AF3&lt;&gt;AL3,VLOOKUP(AF3,$A$2:$B$1048576,2,FALSE)="RB"),AF3,IF(AND(AG3&lt;&gt;AL3,VLOOKUP(AG3,$A$2:$B$1048576,2,FALSE)="RB"),AG3,IF(AND(AH3&lt;&gt;AL3,VLOOKUP(AH3,$A$2:$B$1048576,2,FALSE)="RB"),AH3,IF(AND(AI3&lt;&gt;AL3,VLOOKUP(AI3,$A$2:$B$1048576,2,FALSE)="RB"),AI3,0)))))))))</f>
        <v>#N/A</v>
      </c>
      <c r="AN3" t="e" cm="1">
        <f t="array" ref="AN3">_xlfn.IFS(VLOOKUP(AA3,$A$2:$B$1048576,2,FALSE)="WR",AA3,VLOOKUP(AB3,$A$2:$B$1048576,2,FALSE)="WR",AB3,VLOOKUP(AC3,$A$2:$B$1048576,2,FALSE)="WR",AC3,VLOOKUP(AD3,$A$2:$B$1048576,2,FALSE)="WR",AD3,VLOOKUP(AE3,$A$2:$B$1048576,2,FALSE)="WR",AE3,VLOOKUP(AF3,$A$2:$B$1048576,2,FALSE)="WR",AF3,VLOOKUP(AG3,$A$2:$B$1048576,2,FALSE)="WR",AG3,VLOOKUP(AH3,$A$2:$B$1048576,2,FALSE)="WR",AH3,VLOOKUP(AI3,$A$2:$B$1048576,2,FALSE)="WR",AI3)</f>
        <v>#N/A</v>
      </c>
      <c r="AO3" t="e">
        <f t="shared" ref="AO3:AO66" si="3">IF(AND(AA3&lt;&gt;AN3,VLOOKUP(AA3,$A$2:$B$1048576,2,FALSE)="WR"),AA3,IF(AND(AB3&lt;&gt;AN3,VLOOKUP(AB3,$A$2:$B$1048576,2,FALSE)="WR"),AB3,IF(AND(AC3&lt;&gt;AN3,VLOOKUP(AC3,$A$2:$B$1048576,2,FALSE)="WR"),AC3,IF(AND(AD3&lt;&gt;AN3,VLOOKUP(AD3,$A$2:$B$1048576,2,FALSE)="WR"),AD3,IF(AND(AE3&lt;&gt;AN3,VLOOKUP(AE3,$A$2:$B$1048576,2,FALSE)="WR"),AE3,IF(AND(AF3&lt;&gt;AN3,VLOOKUP(AF3,$A$2:$B$1048576,2,FALSE)="WR"),AF3,IF(AND(AG3&lt;&gt;AN3,VLOOKUP(AG3,$A$2:$B$1048576,2,FALSE)="WR"),AG3,IF(AND(AH3&lt;&gt;AN3,VLOOKUP(AH3,$A$2:$B$1048576,2,FALSE)="WR"),AH3,IF(AND(AI3&lt;&gt;AN3,VLOOKUP(AI3,$A$2:$B$1048576,2,FALSE)="WR"),AI3,0)))))))))</f>
        <v>#N/A</v>
      </c>
      <c r="AP3" t="e">
        <f t="shared" ref="AP3:AP66" si="4">IF(AND(AA3&lt;&gt;AN3,OR(AA3&lt;&gt;AO3),VLOOKUP(AA3,$A$2:$B$1048576,2,FALSE)="WR"),AA3,IF(AND(AB3&lt;&gt;AN3,OR(AB3&lt;&gt;AO3),VLOOKUP(AB3,$A$2:$B$1048576,2,FALSE)="WR"),AB3,IF(AND(AC3&lt;&gt;AN3,OR(AC3&lt;&gt;AO3),VLOOKUP(AC3,$A$2:$B$1048576,2,FALSE)="WR"),AC3,IF(AND(AD3&lt;&gt;AN3,OR(AD3&lt;&gt;AO3),VLOOKUP(AD3,$A$2:$B$1048576,2,FALSE)="WR"),AD3,IF(AND(AE3&lt;&gt;AN3,OR(AE3&lt;&gt;AO3),VLOOKUP(AE3,$A$2:$B$1048576,2,FALSE)="WR"),AE3,IF(AND(AF3&lt;&gt;AN3,OR(AF3&lt;&gt;AO3),VLOOKUP(AF3,$A$2:$B$1048576,2,FALSE)="WR"),AF3,IF(AND(AG3&lt;&gt;AN3,OR(AG3&lt;&gt;AO3),VLOOKUP(AG3,$A$2:$B$1048576,2,FALSE)="WR"),AG3,IF(AND(AH3&lt;&gt;AN3,OR(AH3&lt;&gt;AO3),VLOOKUP(AH3,$A$2:$B$1048576,2,FALSE)="WR"),AH3,IF(AND(AI3&lt;&gt;AN3,OR(AI3&lt;&gt;AO3),VLOOKUP(AI3,$A$2:$B$1048576,2,FALSE)="WR"),AI3,0)))))))))</f>
        <v>#N/A</v>
      </c>
      <c r="AQ3" t="e" cm="1">
        <f t="array" ref="AQ3">_xlfn.IFS(VLOOKUP(AA3,$A$2:$B$1048576,2,FALSE)="TE",AA3,VLOOKUP(AB3,$A$2:$B$1048576,2,FALSE)="TE",AB3,VLOOKUP(AC3,$A$2:$B$1048576,2,FALSE)="TE",AC3,VLOOKUP(AD3,$A$2:$B$1048576,2,FALSE)="TE",AD3,VLOOKUP(AE3,$A$2:$B$1048576,2,FALSE)="TE",AE3,VLOOKUP(AF3,$A$2:$B$1048576,2,FALSE)="TE",AF3,VLOOKUP(AG3,$A$2:$B$1048576,2,FALSE)="TE",AG3,VLOOKUP(AH3,$A$2:$B$1048576,2,FALSE)="TE",AH3,VLOOKUP(AI3,$A$2:$B$1048576,2,FALSE)="TE",AI3)</f>
        <v>#N/A</v>
      </c>
      <c r="AR3" t="e" cm="1">
        <f t="array" ref="AR3">_xlfn.IFS(IF(OR(AA3=AK3,AA3=AL3,AA3=AM3,AA3=AN3,AA3=AO3,AA3=AP3,AA3=AQ3,AA3=AS3),1,0)=0,AA3,IF(OR(AB3=AK3,AB3=AL3,AB3=AM3,AB3=AN3,AB3=AO3,AB3=AP3,AB3=AQ3,AB3=AS3),1,0)=0,AB3,IF(OR(AC3=AK3,AC3=AL3,AC3=AM3,AC3=AN3,AC3=AO3,AC3=AP3,AC3=AQ3,AC3=AS3),1,0)=0,AC3,IF(OR(AD3=AK3,AD3=AL3,AD3=AM3,AD3=AN3,AD3=AO3,AD3=AP3,AD3=AQ3,AD3=AS3),1,0)=0,AD3,IF(OR(AE3=AK3,AE3=AL3,AE3=AM3,AE3=AN3,AE3=AO3,AE3=AP3,AE3=AQ3,AE3=AS3),1,0)=0,AE3,IF(OR(AF3=AK3,AF3=AL3,AF3=AM3,AF3=AN3,AF3=AO3,AF3=AP3,AF3=AQ3,AF3=AS3),1,0)=0,AF3,IF(OR(AG3=AK3,AG3=AL3,AG3=AM3,AG3=AN3,AG3=AO3,AG3=AP3,AG3=AQ3,AG3=AS3),1,0)=0,AG3,IF(OR(AH3=AK3,AH3=AL3,AH3=AM3,AH3=AN3,AH3=AO3,AH3=AP3,AH3=AQ3,AH3=AS3),1,0)=0,AH3,IF(OR(AI3=AK3,AI3=AL3,AI3=AM3,AI3=AN3,AI3=AO3,AI3=AP3,AI3=AQ3,AI3=AS3),1,0)=0,AI3)</f>
        <v>#N/A</v>
      </c>
      <c r="AS3" t="e" cm="1">
        <f t="array" ref="AS3">_xlfn.IFS(VLOOKUP(AA3,$A$2:$B$1048576,2,FALSE)="DST",AA3,VLOOKUP(AB3,$A$2:$B$1048576,2,FALSE)="DST",AB3,VLOOKUP(AC3,$A$2:$B$1048576,2,FALSE)="DST",AC3,VLOOKUP(AD3,$A$2:$B$1048576,2,FALSE)="DST",AD3,VLOOKUP(AE3,$A$2:$B$1048576,2,FALSE)="DST",AE3,VLOOKUP(AF3,$A$2:$B$1048576,2,FALSE)="DST",AF3,VLOOKUP(AG3,$A$2:$B$1048576,2,FALSE)="DST",AG3,VLOOKUP(AH3,$A$2:$B$1048576,2,FALSE)="DST",AH3,VLOOKUP(AI3,$A$2:$B$1048576,2,FALSE)="DST",AI3)</f>
        <v>#N/A</v>
      </c>
    </row>
    <row r="4" spans="1:55" ht="15" thickBot="1" x14ac:dyDescent="0.4">
      <c r="A4" t="s">
        <v>19</v>
      </c>
      <c r="B4" s="11" t="s">
        <v>9</v>
      </c>
      <c r="C4" s="11">
        <v>4000</v>
      </c>
      <c r="D4" s="12">
        <v>10.68861722222222</v>
      </c>
      <c r="E4" s="12">
        <v>10.711532060559957</v>
      </c>
      <c r="F4" s="12">
        <v>20.035158735736186</v>
      </c>
      <c r="H4" s="11">
        <v>0</v>
      </c>
      <c r="I4">
        <f>IF(B4="QB",H4*1,0)</f>
        <v>0</v>
      </c>
      <c r="J4">
        <f>IF(B4="RB",H4*1,0)</f>
        <v>0</v>
      </c>
      <c r="K4">
        <f>IF(B4="WR",H4*1,0)</f>
        <v>0</v>
      </c>
      <c r="L4">
        <f>IF(B4="TE",H4*1,0)</f>
        <v>0</v>
      </c>
      <c r="M4">
        <f>IF(B4="DST",H4*1,0)</f>
        <v>0</v>
      </c>
      <c r="O4" s="5" t="s">
        <v>26</v>
      </c>
      <c r="P4" s="6">
        <v>9</v>
      </c>
      <c r="Q4" s="7">
        <f>SUM(Q6:Q10)</f>
        <v>0</v>
      </c>
      <c r="S4" s="8"/>
      <c r="T4" s="8"/>
      <c r="U4" s="8"/>
      <c r="X4" s="11">
        <f t="shared" si="0"/>
        <v>1</v>
      </c>
      <c r="Y4" s="9">
        <v>3</v>
      </c>
      <c r="Z4" s="12">
        <f t="shared" si="1"/>
        <v>0</v>
      </c>
      <c r="AK4" t="e" cm="1">
        <f t="array" ref="AK4">_xlfn.IFS(VLOOKUP(AA4,$A$2:$B$1048576,2,FALSE)="QB",AA4,VLOOKUP(AB4,$A$2:$B$1048576,2,FALSE)="QB",AB4,VLOOKUP(AC4,$A$2:$B$1048576,2,FALSE)="QB",AC4,VLOOKUP(AD4,$A$2:$B$1048576,2,FALSE)="QB",AD4,VLOOKUP(AE4,$A$2:$B$1048576,2,FALSE)="QB",AE4,VLOOKUP(AF4,$A$2:$B$1048576,2,FALSE)="QB",AF4,VLOOKUP(AG4,$A$2:$B$1048576,2,FALSE)="QB",AG4,VLOOKUP(AH4,$A$2:$B$1048576,2,FALSE)="QB",AH4,VLOOKUP(AI4,$A$2:$B$1048576,2,FALSE)="QB",AI4)</f>
        <v>#N/A</v>
      </c>
      <c r="AL4" t="e" cm="1">
        <f t="array" ref="AL4">_xlfn.IFS(VLOOKUP(AA4,$A$2:$B$1048576,2,FALSE)="RB",AA4,VLOOKUP(AB4,$A$2:$B$1048576,2,FALSE)="RB",AB4,VLOOKUP(AC4,$A$2:$B$1048576,2,FALSE)="RB",AC4,VLOOKUP(AD4,$A$2:$B$1048576,2,FALSE)="RB",AD4,VLOOKUP(AE4,$A$2:$B$1048576,2,FALSE)="RB",AE4,VLOOKUP(AF4,$A$2:$B$1048576,2,FALSE)="RB",AF4,VLOOKUP(AG4,$A$2:$B$1048576,2,FALSE)="RB",AG4,VLOOKUP(AH4,$A$2:$B$1048576,2,FALSE)="RB",AH4,VLOOKUP(AI4,$A$2:$B$1048576,2,FALSE)="RB",AI4)</f>
        <v>#N/A</v>
      </c>
      <c r="AM4" t="e">
        <f t="shared" si="2"/>
        <v>#N/A</v>
      </c>
      <c r="AN4" t="e" cm="1">
        <f t="array" ref="AN4">_xlfn.IFS(VLOOKUP(AA4,$A$2:$B$1048576,2,FALSE)="WR",AA4,VLOOKUP(AB4,$A$2:$B$1048576,2,FALSE)="WR",AB4,VLOOKUP(AC4,$A$2:$B$1048576,2,FALSE)="WR",AC4,VLOOKUP(AD4,$A$2:$B$1048576,2,FALSE)="WR",AD4,VLOOKUP(AE4,$A$2:$B$1048576,2,FALSE)="WR",AE4,VLOOKUP(AF4,$A$2:$B$1048576,2,FALSE)="WR",AF4,VLOOKUP(AG4,$A$2:$B$1048576,2,FALSE)="WR",AG4,VLOOKUP(AH4,$A$2:$B$1048576,2,FALSE)="WR",AH4,VLOOKUP(AI4,$A$2:$B$1048576,2,FALSE)="WR",AI4)</f>
        <v>#N/A</v>
      </c>
      <c r="AO4" t="e">
        <f t="shared" si="3"/>
        <v>#N/A</v>
      </c>
      <c r="AP4" t="e">
        <f t="shared" si="4"/>
        <v>#N/A</v>
      </c>
      <c r="AQ4" t="e" cm="1">
        <f t="array" ref="AQ4">_xlfn.IFS(VLOOKUP(AA4,$A$2:$B$1048576,2,FALSE)="TE",AA4,VLOOKUP(AB4,$A$2:$B$1048576,2,FALSE)="TE",AB4,VLOOKUP(AC4,$A$2:$B$1048576,2,FALSE)="TE",AC4,VLOOKUP(AD4,$A$2:$B$1048576,2,FALSE)="TE",AD4,VLOOKUP(AE4,$A$2:$B$1048576,2,FALSE)="TE",AE4,VLOOKUP(AF4,$A$2:$B$1048576,2,FALSE)="TE",AF4,VLOOKUP(AG4,$A$2:$B$1048576,2,FALSE)="TE",AG4,VLOOKUP(AH4,$A$2:$B$1048576,2,FALSE)="TE",AH4,VLOOKUP(AI4,$A$2:$B$1048576,2,FALSE)="TE",AI4)</f>
        <v>#N/A</v>
      </c>
      <c r="AR4" t="e" cm="1">
        <f t="array" ref="AR4">_xlfn.IFS(IF(OR(AA4=AK4,AA4=AL4,AA4=AM4,AA4=AN4,AA4=AO4,AA4=AP4,AA4=AQ4,AA4=AS4),1,0)=0,AA4,IF(OR(AB4=AK4,AB4=AL4,AB4=AM4,AB4=AN4,AB4=AO4,AB4=AP4,AB4=AQ4,AB4=AS4),1,0)=0,AB4,IF(OR(AC4=AK4,AC4=AL4,AC4=AM4,AC4=AN4,AC4=AO4,AC4=AP4,AC4=AQ4,AC4=AS4),1,0)=0,AC4,IF(OR(AD4=AK4,AD4=AL4,AD4=AM4,AD4=AN4,AD4=AO4,AD4=AP4,AD4=AQ4,AD4=AS4),1,0)=0,AD4,IF(OR(AE4=AK4,AE4=AL4,AE4=AM4,AE4=AN4,AE4=AO4,AE4=AP4,AE4=AQ4,AE4=AS4),1,0)=0,AE4,IF(OR(AF4=AK4,AF4=AL4,AF4=AM4,AF4=AN4,AF4=AO4,AF4=AP4,AF4=AQ4,AF4=AS4),1,0)=0,AF4,IF(OR(AG4=AK4,AG4=AL4,AG4=AM4,AG4=AN4,AG4=AO4,AG4=AP4,AG4=AQ4,AG4=AS4),1,0)=0,AG4,IF(OR(AH4=AK4,AH4=AL4,AH4=AM4,AH4=AN4,AH4=AO4,AH4=AP4,AH4=AQ4,AH4=AS4),1,0)=0,AH4,IF(OR(AI4=AK4,AI4=AL4,AI4=AM4,AI4=AN4,AI4=AO4,AI4=AP4,AI4=AQ4,AI4=AS4),1,0)=0,AI4)</f>
        <v>#N/A</v>
      </c>
      <c r="AS4" t="e" cm="1">
        <f t="array" ref="AS4">_xlfn.IFS(VLOOKUP(AA4,$A$2:$B$1048576,2,FALSE)="DST",AA4,VLOOKUP(AB4,$A$2:$B$1048576,2,FALSE)="DST",AB4,VLOOKUP(AC4,$A$2:$B$1048576,2,FALSE)="DST",AC4,VLOOKUP(AD4,$A$2:$B$1048576,2,FALSE)="DST",AD4,VLOOKUP(AE4,$A$2:$B$1048576,2,FALSE)="DST",AE4,VLOOKUP(AF4,$A$2:$B$1048576,2,FALSE)="DST",AF4,VLOOKUP(AG4,$A$2:$B$1048576,2,FALSE)="DST",AG4,VLOOKUP(AH4,$A$2:$B$1048576,2,FALSE)="DST",AH4,VLOOKUP(AI4,$A$2:$B$1048576,2,FALSE)="DST",AI4)</f>
        <v>#N/A</v>
      </c>
    </row>
    <row r="5" spans="1:55" ht="15" thickBot="1" x14ac:dyDescent="0.4">
      <c r="A5" t="s">
        <v>20</v>
      </c>
      <c r="B5" s="11" t="s">
        <v>10</v>
      </c>
      <c r="C5" s="11">
        <v>7200</v>
      </c>
      <c r="D5" s="12">
        <v>19.732399999999998</v>
      </c>
      <c r="E5" s="12">
        <v>19.801245319646974</v>
      </c>
      <c r="F5" s="12">
        <v>47.147126891388872</v>
      </c>
      <c r="H5" s="11">
        <v>0</v>
      </c>
      <c r="I5">
        <f>IF(B5="QB",H5*1,0)</f>
        <v>0</v>
      </c>
      <c r="J5">
        <f>IF(B5="RB",H5*1,0)</f>
        <v>0</v>
      </c>
      <c r="K5">
        <f>IF(B5="WR",H5*1,0)</f>
        <v>0</v>
      </c>
      <c r="L5">
        <f>IF(B5="TE",H5*1,0)</f>
        <v>0</v>
      </c>
      <c r="M5">
        <f>IF(B5="DST",H5*1,0)</f>
        <v>0</v>
      </c>
      <c r="O5" s="5"/>
      <c r="P5" s="17" t="s">
        <v>27</v>
      </c>
      <c r="Q5" s="17"/>
      <c r="R5" s="7" t="s">
        <v>28</v>
      </c>
      <c r="S5" s="8"/>
      <c r="T5" s="18"/>
      <c r="U5" s="19" t="s">
        <v>0</v>
      </c>
      <c r="V5" s="19" t="s">
        <v>12</v>
      </c>
      <c r="W5" s="20" t="s">
        <v>29</v>
      </c>
      <c r="X5" s="11">
        <f t="shared" si="0"/>
        <v>1</v>
      </c>
      <c r="Y5" s="9">
        <v>4</v>
      </c>
      <c r="Z5" s="12">
        <f t="shared" si="1"/>
        <v>0</v>
      </c>
      <c r="AK5" t="e" cm="1">
        <f t="array" ref="AK5">_xlfn.IFS(VLOOKUP(AA5,$A$2:$B$1048576,2,FALSE)="QB",AA5,VLOOKUP(AB5,$A$2:$B$1048576,2,FALSE)="QB",AB5,VLOOKUP(AC5,$A$2:$B$1048576,2,FALSE)="QB",AC5,VLOOKUP(AD5,$A$2:$B$1048576,2,FALSE)="QB",AD5,VLOOKUP(AE5,$A$2:$B$1048576,2,FALSE)="QB",AE5,VLOOKUP(AF5,$A$2:$B$1048576,2,FALSE)="QB",AF5,VLOOKUP(AG5,$A$2:$B$1048576,2,FALSE)="QB",AG5,VLOOKUP(AH5,$A$2:$B$1048576,2,FALSE)="QB",AH5,VLOOKUP(AI5,$A$2:$B$1048576,2,FALSE)="QB",AI5)</f>
        <v>#N/A</v>
      </c>
      <c r="AL5" t="e" cm="1">
        <f t="array" ref="AL5">_xlfn.IFS(VLOOKUP(AA5,$A$2:$B$1048576,2,FALSE)="RB",AA5,VLOOKUP(AB5,$A$2:$B$1048576,2,FALSE)="RB",AB5,VLOOKUP(AC5,$A$2:$B$1048576,2,FALSE)="RB",AC5,VLOOKUP(AD5,$A$2:$B$1048576,2,FALSE)="RB",AD5,VLOOKUP(AE5,$A$2:$B$1048576,2,FALSE)="RB",AE5,VLOOKUP(AF5,$A$2:$B$1048576,2,FALSE)="RB",AF5,VLOOKUP(AG5,$A$2:$B$1048576,2,FALSE)="RB",AG5,VLOOKUP(AH5,$A$2:$B$1048576,2,FALSE)="RB",AH5,VLOOKUP(AI5,$A$2:$B$1048576,2,FALSE)="RB",AI5)</f>
        <v>#N/A</v>
      </c>
      <c r="AM5" t="e">
        <f t="shared" si="2"/>
        <v>#N/A</v>
      </c>
      <c r="AN5" t="e" cm="1">
        <f t="array" ref="AN5">_xlfn.IFS(VLOOKUP(AA5,$A$2:$B$1048576,2,FALSE)="WR",AA5,VLOOKUP(AB5,$A$2:$B$1048576,2,FALSE)="WR",AB5,VLOOKUP(AC5,$A$2:$B$1048576,2,FALSE)="WR",AC5,VLOOKUP(AD5,$A$2:$B$1048576,2,FALSE)="WR",AD5,VLOOKUP(AE5,$A$2:$B$1048576,2,FALSE)="WR",AE5,VLOOKUP(AF5,$A$2:$B$1048576,2,FALSE)="WR",AF5,VLOOKUP(AG5,$A$2:$B$1048576,2,FALSE)="WR",AG5,VLOOKUP(AH5,$A$2:$B$1048576,2,FALSE)="WR",AH5,VLOOKUP(AI5,$A$2:$B$1048576,2,FALSE)="WR",AI5)</f>
        <v>#N/A</v>
      </c>
      <c r="AO5" t="e">
        <f t="shared" si="3"/>
        <v>#N/A</v>
      </c>
      <c r="AP5" t="e">
        <f t="shared" si="4"/>
        <v>#N/A</v>
      </c>
      <c r="AQ5" t="e" cm="1">
        <f t="array" ref="AQ5">_xlfn.IFS(VLOOKUP(AA5,$A$2:$B$1048576,2,FALSE)="TE",AA5,VLOOKUP(AB5,$A$2:$B$1048576,2,FALSE)="TE",AB5,VLOOKUP(AC5,$A$2:$B$1048576,2,FALSE)="TE",AC5,VLOOKUP(AD5,$A$2:$B$1048576,2,FALSE)="TE",AD5,VLOOKUP(AE5,$A$2:$B$1048576,2,FALSE)="TE",AE5,VLOOKUP(AF5,$A$2:$B$1048576,2,FALSE)="TE",AF5,VLOOKUP(AG5,$A$2:$B$1048576,2,FALSE)="TE",AG5,VLOOKUP(AH5,$A$2:$B$1048576,2,FALSE)="TE",AH5,VLOOKUP(AI5,$A$2:$B$1048576,2,FALSE)="TE",AI5)</f>
        <v>#N/A</v>
      </c>
      <c r="AR5" t="e" cm="1">
        <f t="array" ref="AR5">_xlfn.IFS(IF(OR(AA5=AK5,AA5=AL5,AA5=AM5,AA5=AN5,AA5=AO5,AA5=AP5,AA5=AQ5,AA5=AS5),1,0)=0,AA5,IF(OR(AB5=AK5,AB5=AL5,AB5=AM5,AB5=AN5,AB5=AO5,AB5=AP5,AB5=AQ5,AB5=AS5),1,0)=0,AB5,IF(OR(AC5=AK5,AC5=AL5,AC5=AM5,AC5=AN5,AC5=AO5,AC5=AP5,AC5=AQ5,AC5=AS5),1,0)=0,AC5,IF(OR(AD5=AK5,AD5=AL5,AD5=AM5,AD5=AN5,AD5=AO5,AD5=AP5,AD5=AQ5,AD5=AS5),1,0)=0,AD5,IF(OR(AE5=AK5,AE5=AL5,AE5=AM5,AE5=AN5,AE5=AO5,AE5=AP5,AE5=AQ5,AE5=AS5),1,0)=0,AE5,IF(OR(AF5=AK5,AF5=AL5,AF5=AM5,AF5=AN5,AF5=AO5,AF5=AP5,AF5=AQ5,AF5=AS5),1,0)=0,AF5,IF(OR(AG5=AK5,AG5=AL5,AG5=AM5,AG5=AN5,AG5=AO5,AG5=AP5,AG5=AQ5,AG5=AS5),1,0)=0,AG5,IF(OR(AH5=AK5,AH5=AL5,AH5=AM5,AH5=AN5,AH5=AO5,AH5=AP5,AH5=AQ5,AH5=AS5),1,0)=0,AH5,IF(OR(AI5=AK5,AI5=AL5,AI5=AM5,AI5=AN5,AI5=AO5,AI5=AP5,AI5=AQ5,AI5=AS5),1,0)=0,AI5)</f>
        <v>#N/A</v>
      </c>
      <c r="AS5" t="e" cm="1">
        <f t="array" ref="AS5">_xlfn.IFS(VLOOKUP(AA5,$A$2:$B$1048576,2,FALSE)="DST",AA5,VLOOKUP(AB5,$A$2:$B$1048576,2,FALSE)="DST",AB5,VLOOKUP(AC5,$A$2:$B$1048576,2,FALSE)="DST",AC5,VLOOKUP(AD5,$A$2:$B$1048576,2,FALSE)="DST",AD5,VLOOKUP(AE5,$A$2:$B$1048576,2,FALSE)="DST",AE5,VLOOKUP(AF5,$A$2:$B$1048576,2,FALSE)="DST",AF5,VLOOKUP(AG5,$A$2:$B$1048576,2,FALSE)="DST",AG5,VLOOKUP(AH5,$A$2:$B$1048576,2,FALSE)="DST",AH5,VLOOKUP(AI5,$A$2:$B$1048576,2,FALSE)="DST",AI5)</f>
        <v>#N/A</v>
      </c>
    </row>
    <row r="6" spans="1:55" x14ac:dyDescent="0.35">
      <c r="A6" t="s">
        <v>21</v>
      </c>
      <c r="B6" s="11" t="s">
        <v>8</v>
      </c>
      <c r="C6" s="11">
        <v>7000</v>
      </c>
      <c r="D6" s="12">
        <v>20.747346666666669</v>
      </c>
      <c r="E6" s="12">
        <v>21.957922038622048</v>
      </c>
      <c r="F6" s="12">
        <v>50.291076362667404</v>
      </c>
      <c r="H6" s="11">
        <v>0</v>
      </c>
      <c r="I6">
        <f>IF(B6="QB",H6*1,0)</f>
        <v>0</v>
      </c>
      <c r="J6">
        <f>IF(B6="RB",H6*1,0)</f>
        <v>0</v>
      </c>
      <c r="K6">
        <f>IF(B6="WR",H6*1,0)</f>
        <v>0</v>
      </c>
      <c r="L6">
        <f>IF(B6="TE",H6*1,0)</f>
        <v>0</v>
      </c>
      <c r="M6">
        <f>IF(B6="DST",H6*1,0)</f>
        <v>0</v>
      </c>
      <c r="O6" s="21" t="s">
        <v>7</v>
      </c>
      <c r="P6">
        <v>1</v>
      </c>
      <c r="Q6">
        <f>SUMPRODUCT(I2:I201)</f>
        <v>0</v>
      </c>
      <c r="R6" s="22">
        <v>1</v>
      </c>
      <c r="T6" s="23" t="s">
        <v>7</v>
      </c>
      <c r="U6" s="17"/>
      <c r="V6" s="24">
        <f t="shared" ref="V6:V14" si="5">IFERROR(VLOOKUP(U6,$A$2:$D$334,3,FALSE),0)</f>
        <v>0</v>
      </c>
      <c r="W6" s="25">
        <f t="shared" ref="W6:W14" si="6">IFERROR(VLOOKUP(U6,$A$2:$D$334,4,FALSE),0)</f>
        <v>0</v>
      </c>
      <c r="X6" s="11">
        <f t="shared" si="0"/>
        <v>1</v>
      </c>
      <c r="Y6" s="9">
        <v>5</v>
      </c>
      <c r="Z6" s="12">
        <f t="shared" si="1"/>
        <v>0</v>
      </c>
      <c r="AK6" t="e" cm="1">
        <f t="array" ref="AK6">_xlfn.IFS(VLOOKUP(AA6,$A$2:$B$1048576,2,FALSE)="QB",AA6,VLOOKUP(AB6,$A$2:$B$1048576,2,FALSE)="QB",AB6,VLOOKUP(AC6,$A$2:$B$1048576,2,FALSE)="QB",AC6,VLOOKUP(AD6,$A$2:$B$1048576,2,FALSE)="QB",AD6,VLOOKUP(AE6,$A$2:$B$1048576,2,FALSE)="QB",AE6,VLOOKUP(AF6,$A$2:$B$1048576,2,FALSE)="QB",AF6,VLOOKUP(AG6,$A$2:$B$1048576,2,FALSE)="QB",AG6,VLOOKUP(AH6,$A$2:$B$1048576,2,FALSE)="QB",AH6,VLOOKUP(AI6,$A$2:$B$1048576,2,FALSE)="QB",AI6)</f>
        <v>#N/A</v>
      </c>
      <c r="AL6" t="e" cm="1">
        <f t="array" ref="AL6">_xlfn.IFS(VLOOKUP(AA6,$A$2:$B$1048576,2,FALSE)="RB",AA6,VLOOKUP(AB6,$A$2:$B$1048576,2,FALSE)="RB",AB6,VLOOKUP(AC6,$A$2:$B$1048576,2,FALSE)="RB",AC6,VLOOKUP(AD6,$A$2:$B$1048576,2,FALSE)="RB",AD6,VLOOKUP(AE6,$A$2:$B$1048576,2,FALSE)="RB",AE6,VLOOKUP(AF6,$A$2:$B$1048576,2,FALSE)="RB",AF6,VLOOKUP(AG6,$A$2:$B$1048576,2,FALSE)="RB",AG6,VLOOKUP(AH6,$A$2:$B$1048576,2,FALSE)="RB",AH6,VLOOKUP(AI6,$A$2:$B$1048576,2,FALSE)="RB",AI6)</f>
        <v>#N/A</v>
      </c>
      <c r="AM6" t="e">
        <f t="shared" si="2"/>
        <v>#N/A</v>
      </c>
      <c r="AN6" t="e" cm="1">
        <f t="array" ref="AN6">_xlfn.IFS(VLOOKUP(AA6,$A$2:$B$1048576,2,FALSE)="WR",AA6,VLOOKUP(AB6,$A$2:$B$1048576,2,FALSE)="WR",AB6,VLOOKUP(AC6,$A$2:$B$1048576,2,FALSE)="WR",AC6,VLOOKUP(AD6,$A$2:$B$1048576,2,FALSE)="WR",AD6,VLOOKUP(AE6,$A$2:$B$1048576,2,FALSE)="WR",AE6,VLOOKUP(AF6,$A$2:$B$1048576,2,FALSE)="WR",AF6,VLOOKUP(AG6,$A$2:$B$1048576,2,FALSE)="WR",AG6,VLOOKUP(AH6,$A$2:$B$1048576,2,FALSE)="WR",AH6,VLOOKUP(AI6,$A$2:$B$1048576,2,FALSE)="WR",AI6)</f>
        <v>#N/A</v>
      </c>
      <c r="AO6" t="e">
        <f t="shared" si="3"/>
        <v>#N/A</v>
      </c>
      <c r="AP6" t="e">
        <f t="shared" si="4"/>
        <v>#N/A</v>
      </c>
      <c r="AQ6" t="e" cm="1">
        <f t="array" ref="AQ6">_xlfn.IFS(VLOOKUP(AA6,$A$2:$B$1048576,2,FALSE)="TE",AA6,VLOOKUP(AB6,$A$2:$B$1048576,2,FALSE)="TE",AB6,VLOOKUP(AC6,$A$2:$B$1048576,2,FALSE)="TE",AC6,VLOOKUP(AD6,$A$2:$B$1048576,2,FALSE)="TE",AD6,VLOOKUP(AE6,$A$2:$B$1048576,2,FALSE)="TE",AE6,VLOOKUP(AF6,$A$2:$B$1048576,2,FALSE)="TE",AF6,VLOOKUP(AG6,$A$2:$B$1048576,2,FALSE)="TE",AG6,VLOOKUP(AH6,$A$2:$B$1048576,2,FALSE)="TE",AH6,VLOOKUP(AI6,$A$2:$B$1048576,2,FALSE)="TE",AI6)</f>
        <v>#N/A</v>
      </c>
      <c r="AR6" t="e" cm="1">
        <f t="array" ref="AR6">_xlfn.IFS(IF(OR(AA6=AK6,AA6=AL6,AA6=AM6,AA6=AN6,AA6=AO6,AA6=AP6,AA6=AQ6,AA6=AS6),1,0)=0,AA6,IF(OR(AB6=AK6,AB6=AL6,AB6=AM6,AB6=AN6,AB6=AO6,AB6=AP6,AB6=AQ6,AB6=AS6),1,0)=0,AB6,IF(OR(AC6=AK6,AC6=AL6,AC6=AM6,AC6=AN6,AC6=AO6,AC6=AP6,AC6=AQ6,AC6=AS6),1,0)=0,AC6,IF(OR(AD6=AK6,AD6=AL6,AD6=AM6,AD6=AN6,AD6=AO6,AD6=AP6,AD6=AQ6,AD6=AS6),1,0)=0,AD6,IF(OR(AE6=AK6,AE6=AL6,AE6=AM6,AE6=AN6,AE6=AO6,AE6=AP6,AE6=AQ6,AE6=AS6),1,0)=0,AE6,IF(OR(AF6=AK6,AF6=AL6,AF6=AM6,AF6=AN6,AF6=AO6,AF6=AP6,AF6=AQ6,AF6=AS6),1,0)=0,AF6,IF(OR(AG6=AK6,AG6=AL6,AG6=AM6,AG6=AN6,AG6=AO6,AG6=AP6,AG6=AQ6,AG6=AS6),1,0)=0,AG6,IF(OR(AH6=AK6,AH6=AL6,AH6=AM6,AH6=AN6,AH6=AO6,AH6=AP6,AH6=AQ6,AH6=AS6),1,0)=0,AH6,IF(OR(AI6=AK6,AI6=AL6,AI6=AM6,AI6=AN6,AI6=AO6,AI6=AP6,AI6=AQ6,AI6=AS6),1,0)=0,AI6)</f>
        <v>#N/A</v>
      </c>
      <c r="AS6" t="e" cm="1">
        <f t="array" ref="AS6">_xlfn.IFS(VLOOKUP(AA6,$A$2:$B$1048576,2,FALSE)="DST",AA6,VLOOKUP(AB6,$A$2:$B$1048576,2,FALSE)="DST",AB6,VLOOKUP(AC6,$A$2:$B$1048576,2,FALSE)="DST",AC6,VLOOKUP(AD6,$A$2:$B$1048576,2,FALSE)="DST",AD6,VLOOKUP(AE6,$A$2:$B$1048576,2,FALSE)="DST",AE6,VLOOKUP(AF6,$A$2:$B$1048576,2,FALSE)="DST",AF6,VLOOKUP(AG6,$A$2:$B$1048576,2,FALSE)="DST",AG6,VLOOKUP(AH6,$A$2:$B$1048576,2,FALSE)="DST",AH6,VLOOKUP(AI6,$A$2:$B$1048576,2,FALSE)="DST",AI6)</f>
        <v>#N/A</v>
      </c>
    </row>
    <row r="7" spans="1:55" x14ac:dyDescent="0.35">
      <c r="A7" t="s">
        <v>22</v>
      </c>
      <c r="B7" s="11" t="s">
        <v>8</v>
      </c>
      <c r="C7" s="11">
        <v>6000</v>
      </c>
      <c r="D7" s="12">
        <v>18.372138333333332</v>
      </c>
      <c r="E7" s="12">
        <v>18.558016640636325</v>
      </c>
      <c r="F7" s="12">
        <v>43.196322518685619</v>
      </c>
      <c r="H7" s="11">
        <v>0</v>
      </c>
      <c r="I7">
        <f>IF(B7="QB",H7*1,0)</f>
        <v>0</v>
      </c>
      <c r="J7">
        <f>IF(B7="RB",H7*1,0)</f>
        <v>0</v>
      </c>
      <c r="K7">
        <f>IF(B7="WR",H7*1,0)</f>
        <v>0</v>
      </c>
      <c r="L7">
        <f>IF(B7="TE",H7*1,0)</f>
        <v>0</v>
      </c>
      <c r="M7">
        <f>IF(B7="DST",H7*1,0)</f>
        <v>0</v>
      </c>
      <c r="O7" s="21" t="s">
        <v>8</v>
      </c>
      <c r="P7">
        <v>2</v>
      </c>
      <c r="Q7">
        <f>SUM(J2:J201)</f>
        <v>0</v>
      </c>
      <c r="R7" s="22">
        <v>3</v>
      </c>
      <c r="T7" s="26" t="s">
        <v>8</v>
      </c>
      <c r="V7" s="11">
        <f t="shared" si="5"/>
        <v>0</v>
      </c>
      <c r="W7" s="27">
        <f t="shared" si="6"/>
        <v>0</v>
      </c>
      <c r="X7" s="11">
        <f t="shared" si="0"/>
        <v>1</v>
      </c>
      <c r="Y7" s="9">
        <v>6</v>
      </c>
      <c r="Z7" s="12">
        <f t="shared" si="1"/>
        <v>0</v>
      </c>
      <c r="AK7" t="e" cm="1">
        <f t="array" ref="AK7">_xlfn.IFS(VLOOKUP(AA7,$A$2:$B$1048576,2,FALSE)="QB",AA7,VLOOKUP(AB7,$A$2:$B$1048576,2,FALSE)="QB",AB7,VLOOKUP(AC7,$A$2:$B$1048576,2,FALSE)="QB",AC7,VLOOKUP(AD7,$A$2:$B$1048576,2,FALSE)="QB",AD7,VLOOKUP(AE7,$A$2:$B$1048576,2,FALSE)="QB",AE7,VLOOKUP(AF7,$A$2:$B$1048576,2,FALSE)="QB",AF7,VLOOKUP(AG7,$A$2:$B$1048576,2,FALSE)="QB",AG7,VLOOKUP(AH7,$A$2:$B$1048576,2,FALSE)="QB",AH7,VLOOKUP(AI7,$A$2:$B$1048576,2,FALSE)="QB",AI7)</f>
        <v>#N/A</v>
      </c>
      <c r="AL7" t="e" cm="1">
        <f t="array" ref="AL7">_xlfn.IFS(VLOOKUP(AA7,$A$2:$B$1048576,2,FALSE)="RB",AA7,VLOOKUP(AB7,$A$2:$B$1048576,2,FALSE)="RB",AB7,VLOOKUP(AC7,$A$2:$B$1048576,2,FALSE)="RB",AC7,VLOOKUP(AD7,$A$2:$B$1048576,2,FALSE)="RB",AD7,VLOOKUP(AE7,$A$2:$B$1048576,2,FALSE)="RB",AE7,VLOOKUP(AF7,$A$2:$B$1048576,2,FALSE)="RB",AF7,VLOOKUP(AG7,$A$2:$B$1048576,2,FALSE)="RB",AG7,VLOOKUP(AH7,$A$2:$B$1048576,2,FALSE)="RB",AH7,VLOOKUP(AI7,$A$2:$B$1048576,2,FALSE)="RB",AI7)</f>
        <v>#N/A</v>
      </c>
      <c r="AM7" t="e">
        <f t="shared" si="2"/>
        <v>#N/A</v>
      </c>
      <c r="AN7" t="e" cm="1">
        <f t="array" ref="AN7">_xlfn.IFS(VLOOKUP(AA7,$A$2:$B$1048576,2,FALSE)="WR",AA7,VLOOKUP(AB7,$A$2:$B$1048576,2,FALSE)="WR",AB7,VLOOKUP(AC7,$A$2:$B$1048576,2,FALSE)="WR",AC7,VLOOKUP(AD7,$A$2:$B$1048576,2,FALSE)="WR",AD7,VLOOKUP(AE7,$A$2:$B$1048576,2,FALSE)="WR",AE7,VLOOKUP(AF7,$A$2:$B$1048576,2,FALSE)="WR",AF7,VLOOKUP(AG7,$A$2:$B$1048576,2,FALSE)="WR",AG7,VLOOKUP(AH7,$A$2:$B$1048576,2,FALSE)="WR",AH7,VLOOKUP(AI7,$A$2:$B$1048576,2,FALSE)="WR",AI7)</f>
        <v>#N/A</v>
      </c>
      <c r="AO7" t="e">
        <f t="shared" si="3"/>
        <v>#N/A</v>
      </c>
      <c r="AP7" t="e">
        <f t="shared" si="4"/>
        <v>#N/A</v>
      </c>
      <c r="AQ7" t="e" cm="1">
        <f t="array" ref="AQ7">_xlfn.IFS(VLOOKUP(AA7,$A$2:$B$1048576,2,FALSE)="TE",AA7,VLOOKUP(AB7,$A$2:$B$1048576,2,FALSE)="TE",AB7,VLOOKUP(AC7,$A$2:$B$1048576,2,FALSE)="TE",AC7,VLOOKUP(AD7,$A$2:$B$1048576,2,FALSE)="TE",AD7,VLOOKUP(AE7,$A$2:$B$1048576,2,FALSE)="TE",AE7,VLOOKUP(AF7,$A$2:$B$1048576,2,FALSE)="TE",AF7,VLOOKUP(AG7,$A$2:$B$1048576,2,FALSE)="TE",AG7,VLOOKUP(AH7,$A$2:$B$1048576,2,FALSE)="TE",AH7,VLOOKUP(AI7,$A$2:$B$1048576,2,FALSE)="TE",AI7)</f>
        <v>#N/A</v>
      </c>
      <c r="AR7" t="e" cm="1">
        <f t="array" ref="AR7">_xlfn.IFS(IF(OR(AA7=AK7,AA7=AL7,AA7=AM7,AA7=AN7,AA7=AO7,AA7=AP7,AA7=AQ7,AA7=AS7),1,0)=0,AA7,IF(OR(AB7=AK7,AB7=AL7,AB7=AM7,AB7=AN7,AB7=AO7,AB7=AP7,AB7=AQ7,AB7=AS7),1,0)=0,AB7,IF(OR(AC7=AK7,AC7=AL7,AC7=AM7,AC7=AN7,AC7=AO7,AC7=AP7,AC7=AQ7,AC7=AS7),1,0)=0,AC7,IF(OR(AD7=AK7,AD7=AL7,AD7=AM7,AD7=AN7,AD7=AO7,AD7=AP7,AD7=AQ7,AD7=AS7),1,0)=0,AD7,IF(OR(AE7=AK7,AE7=AL7,AE7=AM7,AE7=AN7,AE7=AO7,AE7=AP7,AE7=AQ7,AE7=AS7),1,0)=0,AE7,IF(OR(AF7=AK7,AF7=AL7,AF7=AM7,AF7=AN7,AF7=AO7,AF7=AP7,AF7=AQ7,AF7=AS7),1,0)=0,AF7,IF(OR(AG7=AK7,AG7=AL7,AG7=AM7,AG7=AN7,AG7=AO7,AG7=AP7,AG7=AQ7,AG7=AS7),1,0)=0,AG7,IF(OR(AH7=AK7,AH7=AL7,AH7=AM7,AH7=AN7,AH7=AO7,AH7=AP7,AH7=AQ7,AH7=AS7),1,0)=0,AH7,IF(OR(AI7=AK7,AI7=AL7,AI7=AM7,AI7=AN7,AI7=AO7,AI7=AP7,AI7=AQ7,AI7=AS7),1,0)=0,AI7)</f>
        <v>#N/A</v>
      </c>
      <c r="AS7" t="e" cm="1">
        <f t="array" ref="AS7">_xlfn.IFS(VLOOKUP(AA7,$A$2:$B$1048576,2,FALSE)="DST",AA7,VLOOKUP(AB7,$A$2:$B$1048576,2,FALSE)="DST",AB7,VLOOKUP(AC7,$A$2:$B$1048576,2,FALSE)="DST",AC7,VLOOKUP(AD7,$A$2:$B$1048576,2,FALSE)="DST",AD7,VLOOKUP(AE7,$A$2:$B$1048576,2,FALSE)="DST",AE7,VLOOKUP(AF7,$A$2:$B$1048576,2,FALSE)="DST",AF7,VLOOKUP(AG7,$A$2:$B$1048576,2,FALSE)="DST",AG7,VLOOKUP(AH7,$A$2:$B$1048576,2,FALSE)="DST",AH7,VLOOKUP(AI7,$A$2:$B$1048576,2,FALSE)="DST",AI7)</f>
        <v>#N/A</v>
      </c>
    </row>
    <row r="8" spans="1:55" x14ac:dyDescent="0.35">
      <c r="A8" t="s">
        <v>23</v>
      </c>
      <c r="B8" s="11" t="s">
        <v>8</v>
      </c>
      <c r="C8" s="11">
        <v>5800</v>
      </c>
      <c r="D8" s="12">
        <v>17.939013333333335</v>
      </c>
      <c r="E8" s="12">
        <v>19.685118977896632</v>
      </c>
      <c r="F8" s="12">
        <v>41.906024470029635</v>
      </c>
      <c r="H8" s="11">
        <v>0</v>
      </c>
      <c r="I8">
        <f>IF(B8="QB",H8*1,0)</f>
        <v>0</v>
      </c>
      <c r="J8">
        <f>IF(B8="RB",H8*1,0)</f>
        <v>0</v>
      </c>
      <c r="K8">
        <f>IF(B8="WR",H8*1,0)</f>
        <v>0</v>
      </c>
      <c r="L8">
        <f>IF(B8="TE",H8*1,0)</f>
        <v>0</v>
      </c>
      <c r="M8">
        <f>IF(B8="DST",H8*1,0)</f>
        <v>0</v>
      </c>
      <c r="O8" s="21" t="s">
        <v>9</v>
      </c>
      <c r="P8">
        <v>3</v>
      </c>
      <c r="Q8">
        <f>SUM(K2:K201)</f>
        <v>0</v>
      </c>
      <c r="R8" s="22">
        <v>4</v>
      </c>
      <c r="T8" s="26" t="s">
        <v>8</v>
      </c>
      <c r="V8" s="11">
        <f t="shared" si="5"/>
        <v>0</v>
      </c>
      <c r="W8" s="27">
        <f t="shared" si="6"/>
        <v>0</v>
      </c>
      <c r="X8" s="11">
        <f t="shared" si="0"/>
        <v>1</v>
      </c>
      <c r="Y8" s="9">
        <v>7</v>
      </c>
      <c r="Z8" s="12">
        <f t="shared" si="1"/>
        <v>0</v>
      </c>
      <c r="AK8" t="e" cm="1">
        <f t="array" ref="AK8">_xlfn.IFS(VLOOKUP(AA8,$A$2:$B$1048576,2,FALSE)="QB",AA8,VLOOKUP(AB8,$A$2:$B$1048576,2,FALSE)="QB",AB8,VLOOKUP(AC8,$A$2:$B$1048576,2,FALSE)="QB",AC8,VLOOKUP(AD8,$A$2:$B$1048576,2,FALSE)="QB",AD8,VLOOKUP(AE8,$A$2:$B$1048576,2,FALSE)="QB",AE8,VLOOKUP(AF8,$A$2:$B$1048576,2,FALSE)="QB",AF8,VLOOKUP(AG8,$A$2:$B$1048576,2,FALSE)="QB",AG8,VLOOKUP(AH8,$A$2:$B$1048576,2,FALSE)="QB",AH8,VLOOKUP(AI8,$A$2:$B$1048576,2,FALSE)="QB",AI8)</f>
        <v>#N/A</v>
      </c>
      <c r="AL8" t="e" cm="1">
        <f t="array" ref="AL8">_xlfn.IFS(VLOOKUP(AA8,$A$2:$B$1048576,2,FALSE)="RB",AA8,VLOOKUP(AB8,$A$2:$B$1048576,2,FALSE)="RB",AB8,VLOOKUP(AC8,$A$2:$B$1048576,2,FALSE)="RB",AC8,VLOOKUP(AD8,$A$2:$B$1048576,2,FALSE)="RB",AD8,VLOOKUP(AE8,$A$2:$B$1048576,2,FALSE)="RB",AE8,VLOOKUP(AF8,$A$2:$B$1048576,2,FALSE)="RB",AF8,VLOOKUP(AG8,$A$2:$B$1048576,2,FALSE)="RB",AG8,VLOOKUP(AH8,$A$2:$B$1048576,2,FALSE)="RB",AH8,VLOOKUP(AI8,$A$2:$B$1048576,2,FALSE)="RB",AI8)</f>
        <v>#N/A</v>
      </c>
      <c r="AM8" t="e">
        <f t="shared" si="2"/>
        <v>#N/A</v>
      </c>
      <c r="AN8" t="e" cm="1">
        <f t="array" ref="AN8">_xlfn.IFS(VLOOKUP(AA8,$A$2:$B$1048576,2,FALSE)="WR",AA8,VLOOKUP(AB8,$A$2:$B$1048576,2,FALSE)="WR",AB8,VLOOKUP(AC8,$A$2:$B$1048576,2,FALSE)="WR",AC8,VLOOKUP(AD8,$A$2:$B$1048576,2,FALSE)="WR",AD8,VLOOKUP(AE8,$A$2:$B$1048576,2,FALSE)="WR",AE8,VLOOKUP(AF8,$A$2:$B$1048576,2,FALSE)="WR",AF8,VLOOKUP(AG8,$A$2:$B$1048576,2,FALSE)="WR",AG8,VLOOKUP(AH8,$A$2:$B$1048576,2,FALSE)="WR",AH8,VLOOKUP(AI8,$A$2:$B$1048576,2,FALSE)="WR",AI8)</f>
        <v>#N/A</v>
      </c>
      <c r="AO8" t="e">
        <f t="shared" si="3"/>
        <v>#N/A</v>
      </c>
      <c r="AP8" t="e">
        <f t="shared" si="4"/>
        <v>#N/A</v>
      </c>
      <c r="AQ8" t="e" cm="1">
        <f t="array" ref="AQ8">_xlfn.IFS(VLOOKUP(AA8,$A$2:$B$1048576,2,FALSE)="TE",AA8,VLOOKUP(AB8,$A$2:$B$1048576,2,FALSE)="TE",AB8,VLOOKUP(AC8,$A$2:$B$1048576,2,FALSE)="TE",AC8,VLOOKUP(AD8,$A$2:$B$1048576,2,FALSE)="TE",AD8,VLOOKUP(AE8,$A$2:$B$1048576,2,FALSE)="TE",AE8,VLOOKUP(AF8,$A$2:$B$1048576,2,FALSE)="TE",AF8,VLOOKUP(AG8,$A$2:$B$1048576,2,FALSE)="TE",AG8,VLOOKUP(AH8,$A$2:$B$1048576,2,FALSE)="TE",AH8,VLOOKUP(AI8,$A$2:$B$1048576,2,FALSE)="TE",AI8)</f>
        <v>#N/A</v>
      </c>
      <c r="AR8" t="e" cm="1">
        <f t="array" ref="AR8">_xlfn.IFS(IF(OR(AA8=AK8,AA8=AL8,AA8=AM8,AA8=AN8,AA8=AO8,AA8=AP8,AA8=AQ8,AA8=AS8),1,0)=0,AA8,IF(OR(AB8=AK8,AB8=AL8,AB8=AM8,AB8=AN8,AB8=AO8,AB8=AP8,AB8=AQ8,AB8=AS8),1,0)=0,AB8,IF(OR(AC8=AK8,AC8=AL8,AC8=AM8,AC8=AN8,AC8=AO8,AC8=AP8,AC8=AQ8,AC8=AS8),1,0)=0,AC8,IF(OR(AD8=AK8,AD8=AL8,AD8=AM8,AD8=AN8,AD8=AO8,AD8=AP8,AD8=AQ8,AD8=AS8),1,0)=0,AD8,IF(OR(AE8=AK8,AE8=AL8,AE8=AM8,AE8=AN8,AE8=AO8,AE8=AP8,AE8=AQ8,AE8=AS8),1,0)=0,AE8,IF(OR(AF8=AK8,AF8=AL8,AF8=AM8,AF8=AN8,AF8=AO8,AF8=AP8,AF8=AQ8,AF8=AS8),1,0)=0,AF8,IF(OR(AG8=AK8,AG8=AL8,AG8=AM8,AG8=AN8,AG8=AO8,AG8=AP8,AG8=AQ8,AG8=AS8),1,0)=0,AG8,IF(OR(AH8=AK8,AH8=AL8,AH8=AM8,AH8=AN8,AH8=AO8,AH8=AP8,AH8=AQ8,AH8=AS8),1,0)=0,AH8,IF(OR(AI8=AK8,AI8=AL8,AI8=AM8,AI8=AN8,AI8=AO8,AI8=AP8,AI8=AQ8,AI8=AS8),1,0)=0,AI8)</f>
        <v>#N/A</v>
      </c>
      <c r="AS8" t="e" cm="1">
        <f t="array" ref="AS8">_xlfn.IFS(VLOOKUP(AA8,$A$2:$B$1048576,2,FALSE)="DST",AA8,VLOOKUP(AB8,$A$2:$B$1048576,2,FALSE)="DST",AB8,VLOOKUP(AC8,$A$2:$B$1048576,2,FALSE)="DST",AC8,VLOOKUP(AD8,$A$2:$B$1048576,2,FALSE)="DST",AD8,VLOOKUP(AE8,$A$2:$B$1048576,2,FALSE)="DST",AE8,VLOOKUP(AF8,$A$2:$B$1048576,2,FALSE)="DST",AF8,VLOOKUP(AG8,$A$2:$B$1048576,2,FALSE)="DST",AG8,VLOOKUP(AH8,$A$2:$B$1048576,2,FALSE)="DST",AH8,VLOOKUP(AI8,$A$2:$B$1048576,2,FALSE)="DST",AI8)</f>
        <v>#N/A</v>
      </c>
    </row>
    <row r="9" spans="1:55" x14ac:dyDescent="0.35">
      <c r="A9" t="s">
        <v>24</v>
      </c>
      <c r="B9" s="11" t="s">
        <v>7</v>
      </c>
      <c r="C9" s="11">
        <v>8100</v>
      </c>
      <c r="D9" s="12">
        <v>33.806266666666666</v>
      </c>
      <c r="E9" s="12">
        <v>35.527501256566488</v>
      </c>
      <c r="F9" s="12">
        <v>90.524875683246449</v>
      </c>
      <c r="H9" s="11">
        <v>0</v>
      </c>
      <c r="I9">
        <f>IF(B9="QB",H9*1,0)</f>
        <v>0</v>
      </c>
      <c r="J9">
        <f>IF(B9="RB",H9*1,0)</f>
        <v>0</v>
      </c>
      <c r="K9">
        <f>IF(B9="WR",H9*1,0)</f>
        <v>0</v>
      </c>
      <c r="L9">
        <f>IF(B9="TE",H9*1,0)</f>
        <v>0</v>
      </c>
      <c r="M9">
        <f>IF(B9="DST",H9*1,0)</f>
        <v>0</v>
      </c>
      <c r="O9" s="21" t="s">
        <v>10</v>
      </c>
      <c r="P9">
        <v>1</v>
      </c>
      <c r="Q9">
        <f>SUM(L2:L201)</f>
        <v>0</v>
      </c>
      <c r="R9" s="22">
        <v>2</v>
      </c>
      <c r="T9" s="26" t="s">
        <v>9</v>
      </c>
      <c r="V9" s="11">
        <f t="shared" si="5"/>
        <v>0</v>
      </c>
      <c r="W9" s="27">
        <f t="shared" si="6"/>
        <v>0</v>
      </c>
      <c r="X9" s="11">
        <f t="shared" si="0"/>
        <v>1</v>
      </c>
      <c r="Y9" s="9">
        <v>8</v>
      </c>
      <c r="Z9" s="12">
        <f t="shared" si="1"/>
        <v>0</v>
      </c>
      <c r="AK9" t="e" cm="1">
        <f t="array" ref="AK9">_xlfn.IFS(VLOOKUP(AA9,$A$2:$B$1048576,2,FALSE)="QB",AA9,VLOOKUP(AB9,$A$2:$B$1048576,2,FALSE)="QB",AB9,VLOOKUP(AC9,$A$2:$B$1048576,2,FALSE)="QB",AC9,VLOOKUP(AD9,$A$2:$B$1048576,2,FALSE)="QB",AD9,VLOOKUP(AE9,$A$2:$B$1048576,2,FALSE)="QB",AE9,VLOOKUP(AF9,$A$2:$B$1048576,2,FALSE)="QB",AF9,VLOOKUP(AG9,$A$2:$B$1048576,2,FALSE)="QB",AG9,VLOOKUP(AH9,$A$2:$B$1048576,2,FALSE)="QB",AH9,VLOOKUP(AI9,$A$2:$B$1048576,2,FALSE)="QB",AI9)</f>
        <v>#N/A</v>
      </c>
      <c r="AL9" t="e" cm="1">
        <f t="array" ref="AL9">_xlfn.IFS(VLOOKUP(AA9,$A$2:$B$1048576,2,FALSE)="RB",AA9,VLOOKUP(AB9,$A$2:$B$1048576,2,FALSE)="RB",AB9,VLOOKUP(AC9,$A$2:$B$1048576,2,FALSE)="RB",AC9,VLOOKUP(AD9,$A$2:$B$1048576,2,FALSE)="RB",AD9,VLOOKUP(AE9,$A$2:$B$1048576,2,FALSE)="RB",AE9,VLOOKUP(AF9,$A$2:$B$1048576,2,FALSE)="RB",AF9,VLOOKUP(AG9,$A$2:$B$1048576,2,FALSE)="RB",AG9,VLOOKUP(AH9,$A$2:$B$1048576,2,FALSE)="RB",AH9,VLOOKUP(AI9,$A$2:$B$1048576,2,FALSE)="RB",AI9)</f>
        <v>#N/A</v>
      </c>
      <c r="AM9" t="e">
        <f t="shared" si="2"/>
        <v>#N/A</v>
      </c>
      <c r="AN9" t="e" cm="1">
        <f t="array" ref="AN9">_xlfn.IFS(VLOOKUP(AA9,$A$2:$B$1048576,2,FALSE)="WR",AA9,VLOOKUP(AB9,$A$2:$B$1048576,2,FALSE)="WR",AB9,VLOOKUP(AC9,$A$2:$B$1048576,2,FALSE)="WR",AC9,VLOOKUP(AD9,$A$2:$B$1048576,2,FALSE)="WR",AD9,VLOOKUP(AE9,$A$2:$B$1048576,2,FALSE)="WR",AE9,VLOOKUP(AF9,$A$2:$B$1048576,2,FALSE)="WR",AF9,VLOOKUP(AG9,$A$2:$B$1048576,2,FALSE)="WR",AG9,VLOOKUP(AH9,$A$2:$B$1048576,2,FALSE)="WR",AH9,VLOOKUP(AI9,$A$2:$B$1048576,2,FALSE)="WR",AI9)</f>
        <v>#N/A</v>
      </c>
      <c r="AO9" t="e">
        <f t="shared" si="3"/>
        <v>#N/A</v>
      </c>
      <c r="AP9" t="e">
        <f t="shared" si="4"/>
        <v>#N/A</v>
      </c>
      <c r="AQ9" t="e" cm="1">
        <f t="array" ref="AQ9">_xlfn.IFS(VLOOKUP(AA9,$A$2:$B$1048576,2,FALSE)="TE",AA9,VLOOKUP(AB9,$A$2:$B$1048576,2,FALSE)="TE",AB9,VLOOKUP(AC9,$A$2:$B$1048576,2,FALSE)="TE",AC9,VLOOKUP(AD9,$A$2:$B$1048576,2,FALSE)="TE",AD9,VLOOKUP(AE9,$A$2:$B$1048576,2,FALSE)="TE",AE9,VLOOKUP(AF9,$A$2:$B$1048576,2,FALSE)="TE",AF9,VLOOKUP(AG9,$A$2:$B$1048576,2,FALSE)="TE",AG9,VLOOKUP(AH9,$A$2:$B$1048576,2,FALSE)="TE",AH9,VLOOKUP(AI9,$A$2:$B$1048576,2,FALSE)="TE",AI9)</f>
        <v>#N/A</v>
      </c>
      <c r="AR9" t="e" cm="1">
        <f t="array" ref="AR9">_xlfn.IFS(IF(OR(AA9=AK9,AA9=AL9,AA9=AM9,AA9=AN9,AA9=AO9,AA9=AP9,AA9=AQ9,AA9=AS9),1,0)=0,AA9,IF(OR(AB9=AK9,AB9=AL9,AB9=AM9,AB9=AN9,AB9=AO9,AB9=AP9,AB9=AQ9,AB9=AS9),1,0)=0,AB9,IF(OR(AC9=AK9,AC9=AL9,AC9=AM9,AC9=AN9,AC9=AO9,AC9=AP9,AC9=AQ9,AC9=AS9),1,0)=0,AC9,IF(OR(AD9=AK9,AD9=AL9,AD9=AM9,AD9=AN9,AD9=AO9,AD9=AP9,AD9=AQ9,AD9=AS9),1,0)=0,AD9,IF(OR(AE9=AK9,AE9=AL9,AE9=AM9,AE9=AN9,AE9=AO9,AE9=AP9,AE9=AQ9,AE9=AS9),1,0)=0,AE9,IF(OR(AF9=AK9,AF9=AL9,AF9=AM9,AF9=AN9,AF9=AO9,AF9=AP9,AF9=AQ9,AF9=AS9),1,0)=0,AF9,IF(OR(AG9=AK9,AG9=AL9,AG9=AM9,AG9=AN9,AG9=AO9,AG9=AP9,AG9=AQ9,AG9=AS9),1,0)=0,AG9,IF(OR(AH9=AK9,AH9=AL9,AH9=AM9,AH9=AN9,AH9=AO9,AH9=AP9,AH9=AQ9,AH9=AS9),1,0)=0,AH9,IF(OR(AI9=AK9,AI9=AL9,AI9=AM9,AI9=AN9,AI9=AO9,AI9=AP9,AI9=AQ9,AI9=AS9),1,0)=0,AI9)</f>
        <v>#N/A</v>
      </c>
      <c r="AS9" t="e" cm="1">
        <f t="array" ref="AS9">_xlfn.IFS(VLOOKUP(AA9,$A$2:$B$1048576,2,FALSE)="DST",AA9,VLOOKUP(AB9,$A$2:$B$1048576,2,FALSE)="DST",AB9,VLOOKUP(AC9,$A$2:$B$1048576,2,FALSE)="DST",AC9,VLOOKUP(AD9,$A$2:$B$1048576,2,FALSE)="DST",AD9,VLOOKUP(AE9,$A$2:$B$1048576,2,FALSE)="DST",AE9,VLOOKUP(AF9,$A$2:$B$1048576,2,FALSE)="DST",AF9,VLOOKUP(AG9,$A$2:$B$1048576,2,FALSE)="DST",AG9,VLOOKUP(AH9,$A$2:$B$1048576,2,FALSE)="DST",AH9,VLOOKUP(AI9,$A$2:$B$1048576,2,FALSE)="DST",AI9)</f>
        <v>#N/A</v>
      </c>
    </row>
    <row r="10" spans="1:55" x14ac:dyDescent="0.35">
      <c r="A10" t="s">
        <v>25</v>
      </c>
      <c r="B10" s="11" t="s">
        <v>11</v>
      </c>
      <c r="C10" s="11">
        <v>2400</v>
      </c>
      <c r="D10" s="12">
        <v>6.5383233333333335</v>
      </c>
      <c r="E10" s="12">
        <v>8.3688614435110846</v>
      </c>
      <c r="F10" s="12">
        <v>14.609009700367729</v>
      </c>
      <c r="H10" s="11">
        <v>0</v>
      </c>
      <c r="I10">
        <f>IF(B10="QB",H10*1,0)</f>
        <v>0</v>
      </c>
      <c r="J10">
        <f>IF(B10="RB",H10*1,0)</f>
        <v>0</v>
      </c>
      <c r="K10">
        <f>IF(B10="WR",H10*1,0)</f>
        <v>0</v>
      </c>
      <c r="L10">
        <f>IF(B10="TE",H10*1,0)</f>
        <v>0</v>
      </c>
      <c r="M10">
        <f>IF(B10="DST",H10*1,0)</f>
        <v>0</v>
      </c>
      <c r="O10" s="21" t="s">
        <v>11</v>
      </c>
      <c r="P10">
        <v>1</v>
      </c>
      <c r="Q10">
        <f>SUM(M6:M205)</f>
        <v>0</v>
      </c>
      <c r="R10" s="22">
        <v>1</v>
      </c>
      <c r="T10" s="26" t="s">
        <v>9</v>
      </c>
      <c r="V10" s="11">
        <f t="shared" si="5"/>
        <v>0</v>
      </c>
      <c r="W10" s="27">
        <f t="shared" si="6"/>
        <v>0</v>
      </c>
      <c r="X10" s="11">
        <f t="shared" si="0"/>
        <v>1</v>
      </c>
      <c r="Y10" s="9">
        <v>9</v>
      </c>
      <c r="Z10" s="12">
        <f t="shared" si="1"/>
        <v>0</v>
      </c>
      <c r="AK10" t="e" cm="1">
        <f t="array" ref="AK10">_xlfn.IFS(VLOOKUP(AA10,$A$2:$B$1048576,2,FALSE)="QB",AA10,VLOOKUP(AB10,$A$2:$B$1048576,2,FALSE)="QB",AB10,VLOOKUP(AC10,$A$2:$B$1048576,2,FALSE)="QB",AC10,VLOOKUP(AD10,$A$2:$B$1048576,2,FALSE)="QB",AD10,VLOOKUP(AE10,$A$2:$B$1048576,2,FALSE)="QB",AE10,VLOOKUP(AF10,$A$2:$B$1048576,2,FALSE)="QB",AF10,VLOOKUP(AG10,$A$2:$B$1048576,2,FALSE)="QB",AG10,VLOOKUP(AH10,$A$2:$B$1048576,2,FALSE)="QB",AH10,VLOOKUP(AI10,$A$2:$B$1048576,2,FALSE)="QB",AI10)</f>
        <v>#N/A</v>
      </c>
      <c r="AL10" t="e" cm="1">
        <f t="array" ref="AL10">_xlfn.IFS(VLOOKUP(AA10,$A$2:$B$1048576,2,FALSE)="RB",AA10,VLOOKUP(AB10,$A$2:$B$1048576,2,FALSE)="RB",AB10,VLOOKUP(AC10,$A$2:$B$1048576,2,FALSE)="RB",AC10,VLOOKUP(AD10,$A$2:$B$1048576,2,FALSE)="RB",AD10,VLOOKUP(AE10,$A$2:$B$1048576,2,FALSE)="RB",AE10,VLOOKUP(AF10,$A$2:$B$1048576,2,FALSE)="RB",AF10,VLOOKUP(AG10,$A$2:$B$1048576,2,FALSE)="RB",AG10,VLOOKUP(AH10,$A$2:$B$1048576,2,FALSE)="RB",AH10,VLOOKUP(AI10,$A$2:$B$1048576,2,FALSE)="RB",AI10)</f>
        <v>#N/A</v>
      </c>
      <c r="AM10" t="e">
        <f t="shared" si="2"/>
        <v>#N/A</v>
      </c>
      <c r="AN10" t="e" cm="1">
        <f t="array" ref="AN10">_xlfn.IFS(VLOOKUP(AA10,$A$2:$B$1048576,2,FALSE)="WR",AA10,VLOOKUP(AB10,$A$2:$B$1048576,2,FALSE)="WR",AB10,VLOOKUP(AC10,$A$2:$B$1048576,2,FALSE)="WR",AC10,VLOOKUP(AD10,$A$2:$B$1048576,2,FALSE)="WR",AD10,VLOOKUP(AE10,$A$2:$B$1048576,2,FALSE)="WR",AE10,VLOOKUP(AF10,$A$2:$B$1048576,2,FALSE)="WR",AF10,VLOOKUP(AG10,$A$2:$B$1048576,2,FALSE)="WR",AG10,VLOOKUP(AH10,$A$2:$B$1048576,2,FALSE)="WR",AH10,VLOOKUP(AI10,$A$2:$B$1048576,2,FALSE)="WR",AI10)</f>
        <v>#N/A</v>
      </c>
      <c r="AO10" t="e">
        <f t="shared" si="3"/>
        <v>#N/A</v>
      </c>
      <c r="AP10" t="e">
        <f t="shared" si="4"/>
        <v>#N/A</v>
      </c>
      <c r="AQ10" t="e" cm="1">
        <f t="array" ref="AQ10">_xlfn.IFS(VLOOKUP(AA10,$A$2:$B$1048576,2,FALSE)="TE",AA10,VLOOKUP(AB10,$A$2:$B$1048576,2,FALSE)="TE",AB10,VLOOKUP(AC10,$A$2:$B$1048576,2,FALSE)="TE",AC10,VLOOKUP(AD10,$A$2:$B$1048576,2,FALSE)="TE",AD10,VLOOKUP(AE10,$A$2:$B$1048576,2,FALSE)="TE",AE10,VLOOKUP(AF10,$A$2:$B$1048576,2,FALSE)="TE",AF10,VLOOKUP(AG10,$A$2:$B$1048576,2,FALSE)="TE",AG10,VLOOKUP(AH10,$A$2:$B$1048576,2,FALSE)="TE",AH10,VLOOKUP(AI10,$A$2:$B$1048576,2,FALSE)="TE",AI10)</f>
        <v>#N/A</v>
      </c>
      <c r="AR10" t="e" cm="1">
        <f t="array" ref="AR10">_xlfn.IFS(IF(OR(AA10=AK10,AA10=AL10,AA10=AM10,AA10=AN10,AA10=AO10,AA10=AP10,AA10=AQ10,AA10=AS10),1,0)=0,AA10,IF(OR(AB10=AK10,AB10=AL10,AB10=AM10,AB10=AN10,AB10=AO10,AB10=AP10,AB10=AQ10,AB10=AS10),1,0)=0,AB10,IF(OR(AC10=AK10,AC10=AL10,AC10=AM10,AC10=AN10,AC10=AO10,AC10=AP10,AC10=AQ10,AC10=AS10),1,0)=0,AC10,IF(OR(AD10=AK10,AD10=AL10,AD10=AM10,AD10=AN10,AD10=AO10,AD10=AP10,AD10=AQ10,AD10=AS10),1,0)=0,AD10,IF(OR(AE10=AK10,AE10=AL10,AE10=AM10,AE10=AN10,AE10=AO10,AE10=AP10,AE10=AQ10,AE10=AS10),1,0)=0,AE10,IF(OR(AF10=AK10,AF10=AL10,AF10=AM10,AF10=AN10,AF10=AO10,AF10=AP10,AF10=AQ10,AF10=AS10),1,0)=0,AF10,IF(OR(AG10=AK10,AG10=AL10,AG10=AM10,AG10=AN10,AG10=AO10,AG10=AP10,AG10=AQ10,AG10=AS10),1,0)=0,AG10,IF(OR(AH10=AK10,AH10=AL10,AH10=AM10,AH10=AN10,AH10=AO10,AH10=AP10,AH10=AQ10,AH10=AS10),1,0)=0,AH10,IF(OR(AI10=AK10,AI10=AL10,AI10=AM10,AI10=AN10,AI10=AO10,AI10=AP10,AI10=AQ10,AI10=AS10),1,0)=0,AI10)</f>
        <v>#N/A</v>
      </c>
      <c r="AS10" t="e" cm="1">
        <f t="array" ref="AS10">_xlfn.IFS(VLOOKUP(AA10,$A$2:$B$1048576,2,FALSE)="DST",AA10,VLOOKUP(AB10,$A$2:$B$1048576,2,FALSE)="DST",AB10,VLOOKUP(AC10,$A$2:$B$1048576,2,FALSE)="DST",AC10,VLOOKUP(AD10,$A$2:$B$1048576,2,FALSE)="DST",AD10,VLOOKUP(AE10,$A$2:$B$1048576,2,FALSE)="DST",AE10,VLOOKUP(AF10,$A$2:$B$1048576,2,FALSE)="DST",AF10,VLOOKUP(AG10,$A$2:$B$1048576,2,FALSE)="DST",AG10,VLOOKUP(AH10,$A$2:$B$1048576,2,FALSE)="DST",AH10,VLOOKUP(AI10,$A$2:$B$1048576,2,FALSE)="DST",AI10)</f>
        <v>#N/A</v>
      </c>
    </row>
    <row r="11" spans="1:55" x14ac:dyDescent="0.35">
      <c r="A11" t="s">
        <v>30</v>
      </c>
      <c r="B11" s="11" t="s">
        <v>9</v>
      </c>
      <c r="C11" s="11">
        <v>9000</v>
      </c>
      <c r="D11" s="12">
        <v>21.545144999999998</v>
      </c>
      <c r="E11" s="12">
        <v>21.894018139834706</v>
      </c>
      <c r="F11" s="12">
        <v>52.41189182245239</v>
      </c>
      <c r="H11" s="11">
        <v>0</v>
      </c>
      <c r="I11">
        <f>IF(B11="QB",H11*1,0)</f>
        <v>0</v>
      </c>
      <c r="J11">
        <f>IF(B11="RB",H11*1,0)</f>
        <v>0</v>
      </c>
      <c r="K11">
        <f>IF(B11="WR",H11*1,0)</f>
        <v>0</v>
      </c>
      <c r="L11">
        <f>IF(B11="TE",H11*1,0)</f>
        <v>0</v>
      </c>
      <c r="M11">
        <f>IF(B11="DST",H11*1,0)</f>
        <v>0</v>
      </c>
      <c r="O11" s="21" t="s">
        <v>31</v>
      </c>
      <c r="P11">
        <v>0</v>
      </c>
      <c r="Q11">
        <f>SUMIF(C2:C200,"&lt;4000",H2:H201)</f>
        <v>0</v>
      </c>
      <c r="R11" s="22">
        <v>1</v>
      </c>
      <c r="T11" s="26" t="s">
        <v>9</v>
      </c>
      <c r="V11" s="11">
        <f t="shared" si="5"/>
        <v>0</v>
      </c>
      <c r="W11" s="27">
        <f t="shared" si="6"/>
        <v>0</v>
      </c>
      <c r="X11" s="11">
        <f t="shared" si="0"/>
        <v>1</v>
      </c>
      <c r="Y11" s="9">
        <v>10</v>
      </c>
      <c r="Z11" s="12">
        <f t="shared" si="1"/>
        <v>0</v>
      </c>
      <c r="AK11" t="e" cm="1">
        <f t="array" ref="AK11">_xlfn.IFS(VLOOKUP(AA11,$A$2:$B$1048576,2,FALSE)="QB",AA11,VLOOKUP(AB11,$A$2:$B$1048576,2,FALSE)="QB",AB11,VLOOKUP(AC11,$A$2:$B$1048576,2,FALSE)="QB",AC11,VLOOKUP(AD11,$A$2:$B$1048576,2,FALSE)="QB",AD11,VLOOKUP(AE11,$A$2:$B$1048576,2,FALSE)="QB",AE11,VLOOKUP(AF11,$A$2:$B$1048576,2,FALSE)="QB",AF11,VLOOKUP(AG11,$A$2:$B$1048576,2,FALSE)="QB",AG11,VLOOKUP(AH11,$A$2:$B$1048576,2,FALSE)="QB",AH11,VLOOKUP(AI11,$A$2:$B$1048576,2,FALSE)="QB",AI11)</f>
        <v>#N/A</v>
      </c>
      <c r="AL11" t="e" cm="1">
        <f t="array" ref="AL11">_xlfn.IFS(VLOOKUP(AA11,$A$2:$B$1048576,2,FALSE)="RB",AA11,VLOOKUP(AB11,$A$2:$B$1048576,2,FALSE)="RB",AB11,VLOOKUP(AC11,$A$2:$B$1048576,2,FALSE)="RB",AC11,VLOOKUP(AD11,$A$2:$B$1048576,2,FALSE)="RB",AD11,VLOOKUP(AE11,$A$2:$B$1048576,2,FALSE)="RB",AE11,VLOOKUP(AF11,$A$2:$B$1048576,2,FALSE)="RB",AF11,VLOOKUP(AG11,$A$2:$B$1048576,2,FALSE)="RB",AG11,VLOOKUP(AH11,$A$2:$B$1048576,2,FALSE)="RB",AH11,VLOOKUP(AI11,$A$2:$B$1048576,2,FALSE)="RB",AI11)</f>
        <v>#N/A</v>
      </c>
      <c r="AM11" t="e">
        <f t="shared" si="2"/>
        <v>#N/A</v>
      </c>
      <c r="AN11" t="e" cm="1">
        <f t="array" ref="AN11">_xlfn.IFS(VLOOKUP(AA11,$A$2:$B$1048576,2,FALSE)="WR",AA11,VLOOKUP(AB11,$A$2:$B$1048576,2,FALSE)="WR",AB11,VLOOKUP(AC11,$A$2:$B$1048576,2,FALSE)="WR",AC11,VLOOKUP(AD11,$A$2:$B$1048576,2,FALSE)="WR",AD11,VLOOKUP(AE11,$A$2:$B$1048576,2,FALSE)="WR",AE11,VLOOKUP(AF11,$A$2:$B$1048576,2,FALSE)="WR",AF11,VLOOKUP(AG11,$A$2:$B$1048576,2,FALSE)="WR",AG11,VLOOKUP(AH11,$A$2:$B$1048576,2,FALSE)="WR",AH11,VLOOKUP(AI11,$A$2:$B$1048576,2,FALSE)="WR",AI11)</f>
        <v>#N/A</v>
      </c>
      <c r="AO11" t="e">
        <f t="shared" si="3"/>
        <v>#N/A</v>
      </c>
      <c r="AP11" t="e">
        <f t="shared" si="4"/>
        <v>#N/A</v>
      </c>
      <c r="AQ11" t="e" cm="1">
        <f t="array" ref="AQ11">_xlfn.IFS(VLOOKUP(AA11,$A$2:$B$1048576,2,FALSE)="TE",AA11,VLOOKUP(AB11,$A$2:$B$1048576,2,FALSE)="TE",AB11,VLOOKUP(AC11,$A$2:$B$1048576,2,FALSE)="TE",AC11,VLOOKUP(AD11,$A$2:$B$1048576,2,FALSE)="TE",AD11,VLOOKUP(AE11,$A$2:$B$1048576,2,FALSE)="TE",AE11,VLOOKUP(AF11,$A$2:$B$1048576,2,FALSE)="TE",AF11,VLOOKUP(AG11,$A$2:$B$1048576,2,FALSE)="TE",AG11,VLOOKUP(AH11,$A$2:$B$1048576,2,FALSE)="TE",AH11,VLOOKUP(AI11,$A$2:$B$1048576,2,FALSE)="TE",AI11)</f>
        <v>#N/A</v>
      </c>
      <c r="AR11" t="e" cm="1">
        <f t="array" ref="AR11">_xlfn.IFS(IF(OR(AA11=AK11,AA11=AL11,AA11=AM11,AA11=AN11,AA11=AO11,AA11=AP11,AA11=AQ11,AA11=AS11),1,0)=0,AA11,IF(OR(AB11=AK11,AB11=AL11,AB11=AM11,AB11=AN11,AB11=AO11,AB11=AP11,AB11=AQ11,AB11=AS11),1,0)=0,AB11,IF(OR(AC11=AK11,AC11=AL11,AC11=AM11,AC11=AN11,AC11=AO11,AC11=AP11,AC11=AQ11,AC11=AS11),1,0)=0,AC11,IF(OR(AD11=AK11,AD11=AL11,AD11=AM11,AD11=AN11,AD11=AO11,AD11=AP11,AD11=AQ11,AD11=AS11),1,0)=0,AD11,IF(OR(AE11=AK11,AE11=AL11,AE11=AM11,AE11=AN11,AE11=AO11,AE11=AP11,AE11=AQ11,AE11=AS11),1,0)=0,AE11,IF(OR(AF11=AK11,AF11=AL11,AF11=AM11,AF11=AN11,AF11=AO11,AF11=AP11,AF11=AQ11,AF11=AS11),1,0)=0,AF11,IF(OR(AG11=AK11,AG11=AL11,AG11=AM11,AG11=AN11,AG11=AO11,AG11=AP11,AG11=AQ11,AG11=AS11),1,0)=0,AG11,IF(OR(AH11=AK11,AH11=AL11,AH11=AM11,AH11=AN11,AH11=AO11,AH11=AP11,AH11=AQ11,AH11=AS11),1,0)=0,AH11,IF(OR(AI11=AK11,AI11=AL11,AI11=AM11,AI11=AN11,AI11=AO11,AI11=AP11,AI11=AQ11,AI11=AS11),1,0)=0,AI11)</f>
        <v>#N/A</v>
      </c>
      <c r="AS11" t="e" cm="1">
        <f t="array" ref="AS11">_xlfn.IFS(VLOOKUP(AA11,$A$2:$B$1048576,2,FALSE)="DST",AA11,VLOOKUP(AB11,$A$2:$B$1048576,2,FALSE)="DST",AB11,VLOOKUP(AC11,$A$2:$B$1048576,2,FALSE)="DST",AC11,VLOOKUP(AD11,$A$2:$B$1048576,2,FALSE)="DST",AD11,VLOOKUP(AE11,$A$2:$B$1048576,2,FALSE)="DST",AE11,VLOOKUP(AF11,$A$2:$B$1048576,2,FALSE)="DST",AF11,VLOOKUP(AG11,$A$2:$B$1048576,2,FALSE)="DST",AG11,VLOOKUP(AH11,$A$2:$B$1048576,2,FALSE)="DST",AH11,VLOOKUP(AI11,$A$2:$B$1048576,2,FALSE)="DST",AI11)</f>
        <v>#N/A</v>
      </c>
    </row>
    <row r="12" spans="1:55" x14ac:dyDescent="0.35">
      <c r="A12" t="s">
        <v>32</v>
      </c>
      <c r="B12" s="11" t="s">
        <v>9</v>
      </c>
      <c r="C12" s="11">
        <v>7700</v>
      </c>
      <c r="D12" s="12">
        <v>18.305172777777774</v>
      </c>
      <c r="E12" s="12">
        <v>18.770921590281446</v>
      </c>
      <c r="F12" s="12">
        <v>42.729305020546569</v>
      </c>
      <c r="G12" s="28"/>
      <c r="H12" s="11">
        <v>0</v>
      </c>
      <c r="I12">
        <f>IF(B12="QB",H12*1,0)</f>
        <v>0</v>
      </c>
      <c r="J12">
        <f>IF(B12="RB",H12*1,0)</f>
        <v>0</v>
      </c>
      <c r="K12">
        <f>IF(B12="WR",H12*1,0)</f>
        <v>0</v>
      </c>
      <c r="L12">
        <f>IF(B12="TE",H12*1,0)</f>
        <v>0</v>
      </c>
      <c r="M12">
        <f>IF(B12="DST",H12*1,0)</f>
        <v>0</v>
      </c>
      <c r="O12" s="29"/>
      <c r="P12" s="8"/>
      <c r="Q12" s="8"/>
      <c r="R12" s="30"/>
      <c r="T12" s="26" t="s">
        <v>10</v>
      </c>
      <c r="V12" s="11">
        <f t="shared" si="5"/>
        <v>0</v>
      </c>
      <c r="W12" s="27">
        <f t="shared" si="6"/>
        <v>0</v>
      </c>
      <c r="X12" s="11">
        <f t="shared" si="0"/>
        <v>1</v>
      </c>
      <c r="Y12" s="9">
        <v>11</v>
      </c>
      <c r="Z12" s="12">
        <f t="shared" si="1"/>
        <v>0</v>
      </c>
      <c r="AK12" t="e" cm="1">
        <f t="array" ref="AK12">_xlfn.IFS(VLOOKUP(AA12,$A$2:$B$1048576,2,FALSE)="QB",AA12,VLOOKUP(AB12,$A$2:$B$1048576,2,FALSE)="QB",AB12,VLOOKUP(AC12,$A$2:$B$1048576,2,FALSE)="QB",AC12,VLOOKUP(AD12,$A$2:$B$1048576,2,FALSE)="QB",AD12,VLOOKUP(AE12,$A$2:$B$1048576,2,FALSE)="QB",AE12,VLOOKUP(AF12,$A$2:$B$1048576,2,FALSE)="QB",AF12,VLOOKUP(AG12,$A$2:$B$1048576,2,FALSE)="QB",AG12,VLOOKUP(AH12,$A$2:$B$1048576,2,FALSE)="QB",AH12,VLOOKUP(AI12,$A$2:$B$1048576,2,FALSE)="QB",AI12)</f>
        <v>#N/A</v>
      </c>
      <c r="AL12" t="e" cm="1">
        <f t="array" ref="AL12">_xlfn.IFS(VLOOKUP(AA12,$A$2:$B$1048576,2,FALSE)="RB",AA12,VLOOKUP(AB12,$A$2:$B$1048576,2,FALSE)="RB",AB12,VLOOKUP(AC12,$A$2:$B$1048576,2,FALSE)="RB",AC12,VLOOKUP(AD12,$A$2:$B$1048576,2,FALSE)="RB",AD12,VLOOKUP(AE12,$A$2:$B$1048576,2,FALSE)="RB",AE12,VLOOKUP(AF12,$A$2:$B$1048576,2,FALSE)="RB",AF12,VLOOKUP(AG12,$A$2:$B$1048576,2,FALSE)="RB",AG12,VLOOKUP(AH12,$A$2:$B$1048576,2,FALSE)="RB",AH12,VLOOKUP(AI12,$A$2:$B$1048576,2,FALSE)="RB",AI12)</f>
        <v>#N/A</v>
      </c>
      <c r="AM12" t="e">
        <f t="shared" si="2"/>
        <v>#N/A</v>
      </c>
      <c r="AN12" t="e" cm="1">
        <f t="array" ref="AN12">_xlfn.IFS(VLOOKUP(AA12,$A$2:$B$1048576,2,FALSE)="WR",AA12,VLOOKUP(AB12,$A$2:$B$1048576,2,FALSE)="WR",AB12,VLOOKUP(AC12,$A$2:$B$1048576,2,FALSE)="WR",AC12,VLOOKUP(AD12,$A$2:$B$1048576,2,FALSE)="WR",AD12,VLOOKUP(AE12,$A$2:$B$1048576,2,FALSE)="WR",AE12,VLOOKUP(AF12,$A$2:$B$1048576,2,FALSE)="WR",AF12,VLOOKUP(AG12,$A$2:$B$1048576,2,FALSE)="WR",AG12,VLOOKUP(AH12,$A$2:$B$1048576,2,FALSE)="WR",AH12,VLOOKUP(AI12,$A$2:$B$1048576,2,FALSE)="WR",AI12)</f>
        <v>#N/A</v>
      </c>
      <c r="AO12" t="e">
        <f t="shared" si="3"/>
        <v>#N/A</v>
      </c>
      <c r="AP12" t="e">
        <f t="shared" si="4"/>
        <v>#N/A</v>
      </c>
      <c r="AQ12" t="e" cm="1">
        <f t="array" ref="AQ12">_xlfn.IFS(VLOOKUP(AA12,$A$2:$B$1048576,2,FALSE)="TE",AA12,VLOOKUP(AB12,$A$2:$B$1048576,2,FALSE)="TE",AB12,VLOOKUP(AC12,$A$2:$B$1048576,2,FALSE)="TE",AC12,VLOOKUP(AD12,$A$2:$B$1048576,2,FALSE)="TE",AD12,VLOOKUP(AE12,$A$2:$B$1048576,2,FALSE)="TE",AE12,VLOOKUP(AF12,$A$2:$B$1048576,2,FALSE)="TE",AF12,VLOOKUP(AG12,$A$2:$B$1048576,2,FALSE)="TE",AG12,VLOOKUP(AH12,$A$2:$B$1048576,2,FALSE)="TE",AH12,VLOOKUP(AI12,$A$2:$B$1048576,2,FALSE)="TE",AI12)</f>
        <v>#N/A</v>
      </c>
      <c r="AR12" t="e" cm="1">
        <f t="array" ref="AR12">_xlfn.IFS(IF(OR(AA12=AK12,AA12=AL12,AA12=AM12,AA12=AN12,AA12=AO12,AA12=AP12,AA12=AQ12,AA12=AS12),1,0)=0,AA12,IF(OR(AB12=AK12,AB12=AL12,AB12=AM12,AB12=AN12,AB12=AO12,AB12=AP12,AB12=AQ12,AB12=AS12),1,0)=0,AB12,IF(OR(AC12=AK12,AC12=AL12,AC12=AM12,AC12=AN12,AC12=AO12,AC12=AP12,AC12=AQ12,AC12=AS12),1,0)=0,AC12,IF(OR(AD12=AK12,AD12=AL12,AD12=AM12,AD12=AN12,AD12=AO12,AD12=AP12,AD12=AQ12,AD12=AS12),1,0)=0,AD12,IF(OR(AE12=AK12,AE12=AL12,AE12=AM12,AE12=AN12,AE12=AO12,AE12=AP12,AE12=AQ12,AE12=AS12),1,0)=0,AE12,IF(OR(AF12=AK12,AF12=AL12,AF12=AM12,AF12=AN12,AF12=AO12,AF12=AP12,AF12=AQ12,AF12=AS12),1,0)=0,AF12,IF(OR(AG12=AK12,AG12=AL12,AG12=AM12,AG12=AN12,AG12=AO12,AG12=AP12,AG12=AQ12,AG12=AS12),1,0)=0,AG12,IF(OR(AH12=AK12,AH12=AL12,AH12=AM12,AH12=AN12,AH12=AO12,AH12=AP12,AH12=AQ12,AH12=AS12),1,0)=0,AH12,IF(OR(AI12=AK12,AI12=AL12,AI12=AM12,AI12=AN12,AI12=AO12,AI12=AP12,AI12=AQ12,AI12=AS12),1,0)=0,AI12)</f>
        <v>#N/A</v>
      </c>
      <c r="AS12" t="e" cm="1">
        <f t="array" ref="AS12">_xlfn.IFS(VLOOKUP(AA12,$A$2:$B$1048576,2,FALSE)="DST",AA12,VLOOKUP(AB12,$A$2:$B$1048576,2,FALSE)="DST",AB12,VLOOKUP(AC12,$A$2:$B$1048576,2,FALSE)="DST",AC12,VLOOKUP(AD12,$A$2:$B$1048576,2,FALSE)="DST",AD12,VLOOKUP(AE12,$A$2:$B$1048576,2,FALSE)="DST",AE12,VLOOKUP(AF12,$A$2:$B$1048576,2,FALSE)="DST",AF12,VLOOKUP(AG12,$A$2:$B$1048576,2,FALSE)="DST",AG12,VLOOKUP(AH12,$A$2:$B$1048576,2,FALSE)="DST",AH12,VLOOKUP(AI12,$A$2:$B$1048576,2,FALSE)="DST",AI12)</f>
        <v>#N/A</v>
      </c>
    </row>
    <row r="13" spans="1:55" x14ac:dyDescent="0.35">
      <c r="A13" t="s">
        <v>33</v>
      </c>
      <c r="B13" s="11" t="s">
        <v>9</v>
      </c>
      <c r="C13" s="11">
        <v>7300</v>
      </c>
      <c r="D13" s="12">
        <v>16.416228333333329</v>
      </c>
      <c r="E13" s="12">
        <v>17.066429602228531</v>
      </c>
      <c r="F13" s="12">
        <v>37.046122523123053</v>
      </c>
      <c r="G13" s="28"/>
      <c r="H13" s="11">
        <v>0</v>
      </c>
      <c r="I13">
        <f>IF(B13="QB",H13*1,0)</f>
        <v>0</v>
      </c>
      <c r="J13">
        <f>IF(B13="RB",H13*1,0)</f>
        <v>0</v>
      </c>
      <c r="K13">
        <f>IF(B13="WR",H13*1,0)</f>
        <v>0</v>
      </c>
      <c r="L13">
        <f>IF(B13="TE",H13*1,0)</f>
        <v>0</v>
      </c>
      <c r="M13">
        <f>IF(B13="DST",H13*1,0)</f>
        <v>0</v>
      </c>
      <c r="O13" s="29"/>
      <c r="P13" s="8"/>
      <c r="Q13" s="8"/>
      <c r="R13" s="30"/>
      <c r="T13" s="26" t="s">
        <v>34</v>
      </c>
      <c r="V13" s="11">
        <f t="shared" si="5"/>
        <v>0</v>
      </c>
      <c r="W13" s="27">
        <f t="shared" si="6"/>
        <v>0</v>
      </c>
      <c r="X13" s="11">
        <f t="shared" si="0"/>
        <v>1</v>
      </c>
      <c r="Y13" s="9">
        <v>12</v>
      </c>
      <c r="Z13" s="12">
        <f t="shared" si="1"/>
        <v>0</v>
      </c>
      <c r="AK13" t="e" cm="1">
        <f t="array" ref="AK13">_xlfn.IFS(VLOOKUP(AA13,$A$2:$B$1048576,2,FALSE)="QB",AA13,VLOOKUP(AB13,$A$2:$B$1048576,2,FALSE)="QB",AB13,VLOOKUP(AC13,$A$2:$B$1048576,2,FALSE)="QB",AC13,VLOOKUP(AD13,$A$2:$B$1048576,2,FALSE)="QB",AD13,VLOOKUP(AE13,$A$2:$B$1048576,2,FALSE)="QB",AE13,VLOOKUP(AF13,$A$2:$B$1048576,2,FALSE)="QB",AF13,VLOOKUP(AG13,$A$2:$B$1048576,2,FALSE)="QB",AG13,VLOOKUP(AH13,$A$2:$B$1048576,2,FALSE)="QB",AH13,VLOOKUP(AI13,$A$2:$B$1048576,2,FALSE)="QB",AI13)</f>
        <v>#N/A</v>
      </c>
      <c r="AL13" t="e" cm="1">
        <f t="array" ref="AL13">_xlfn.IFS(VLOOKUP(AA13,$A$2:$B$1048576,2,FALSE)="RB",AA13,VLOOKUP(AB13,$A$2:$B$1048576,2,FALSE)="RB",AB13,VLOOKUP(AC13,$A$2:$B$1048576,2,FALSE)="RB",AC13,VLOOKUP(AD13,$A$2:$B$1048576,2,FALSE)="RB",AD13,VLOOKUP(AE13,$A$2:$B$1048576,2,FALSE)="RB",AE13,VLOOKUP(AF13,$A$2:$B$1048576,2,FALSE)="RB",AF13,VLOOKUP(AG13,$A$2:$B$1048576,2,FALSE)="RB",AG13,VLOOKUP(AH13,$A$2:$B$1048576,2,FALSE)="RB",AH13,VLOOKUP(AI13,$A$2:$B$1048576,2,FALSE)="RB",AI13)</f>
        <v>#N/A</v>
      </c>
      <c r="AM13" t="e">
        <f t="shared" si="2"/>
        <v>#N/A</v>
      </c>
      <c r="AN13" t="e" cm="1">
        <f t="array" ref="AN13">_xlfn.IFS(VLOOKUP(AA13,$A$2:$B$1048576,2,FALSE)="WR",AA13,VLOOKUP(AB13,$A$2:$B$1048576,2,FALSE)="WR",AB13,VLOOKUP(AC13,$A$2:$B$1048576,2,FALSE)="WR",AC13,VLOOKUP(AD13,$A$2:$B$1048576,2,FALSE)="WR",AD13,VLOOKUP(AE13,$A$2:$B$1048576,2,FALSE)="WR",AE13,VLOOKUP(AF13,$A$2:$B$1048576,2,FALSE)="WR",AF13,VLOOKUP(AG13,$A$2:$B$1048576,2,FALSE)="WR",AG13,VLOOKUP(AH13,$A$2:$B$1048576,2,FALSE)="WR",AH13,VLOOKUP(AI13,$A$2:$B$1048576,2,FALSE)="WR",AI13)</f>
        <v>#N/A</v>
      </c>
      <c r="AO13" t="e">
        <f t="shared" si="3"/>
        <v>#N/A</v>
      </c>
      <c r="AP13" t="e">
        <f t="shared" si="4"/>
        <v>#N/A</v>
      </c>
      <c r="AQ13" t="e" cm="1">
        <f t="array" ref="AQ13">_xlfn.IFS(VLOOKUP(AA13,$A$2:$B$1048576,2,FALSE)="TE",AA13,VLOOKUP(AB13,$A$2:$B$1048576,2,FALSE)="TE",AB13,VLOOKUP(AC13,$A$2:$B$1048576,2,FALSE)="TE",AC13,VLOOKUP(AD13,$A$2:$B$1048576,2,FALSE)="TE",AD13,VLOOKUP(AE13,$A$2:$B$1048576,2,FALSE)="TE",AE13,VLOOKUP(AF13,$A$2:$B$1048576,2,FALSE)="TE",AF13,VLOOKUP(AG13,$A$2:$B$1048576,2,FALSE)="TE",AG13,VLOOKUP(AH13,$A$2:$B$1048576,2,FALSE)="TE",AH13,VLOOKUP(AI13,$A$2:$B$1048576,2,FALSE)="TE",AI13)</f>
        <v>#N/A</v>
      </c>
      <c r="AR13" t="e" cm="1">
        <f t="array" ref="AR13">_xlfn.IFS(IF(OR(AA13=AK13,AA13=AL13,AA13=AM13,AA13=AN13,AA13=AO13,AA13=AP13,AA13=AQ13,AA13=AS13),1,0)=0,AA13,IF(OR(AB13=AK13,AB13=AL13,AB13=AM13,AB13=AN13,AB13=AO13,AB13=AP13,AB13=AQ13,AB13=AS13),1,0)=0,AB13,IF(OR(AC13=AK13,AC13=AL13,AC13=AM13,AC13=AN13,AC13=AO13,AC13=AP13,AC13=AQ13,AC13=AS13),1,0)=0,AC13,IF(OR(AD13=AK13,AD13=AL13,AD13=AM13,AD13=AN13,AD13=AO13,AD13=AP13,AD13=AQ13,AD13=AS13),1,0)=0,AD13,IF(OR(AE13=AK13,AE13=AL13,AE13=AM13,AE13=AN13,AE13=AO13,AE13=AP13,AE13=AQ13,AE13=AS13),1,0)=0,AE13,IF(OR(AF13=AK13,AF13=AL13,AF13=AM13,AF13=AN13,AF13=AO13,AF13=AP13,AF13=AQ13,AF13=AS13),1,0)=0,AF13,IF(OR(AG13=AK13,AG13=AL13,AG13=AM13,AG13=AN13,AG13=AO13,AG13=AP13,AG13=AQ13,AG13=AS13),1,0)=0,AG13,IF(OR(AH13=AK13,AH13=AL13,AH13=AM13,AH13=AN13,AH13=AO13,AH13=AP13,AH13=AQ13,AH13=AS13),1,0)=0,AH13,IF(OR(AI13=AK13,AI13=AL13,AI13=AM13,AI13=AN13,AI13=AO13,AI13=AP13,AI13=AQ13,AI13=AS13),1,0)=0,AI13)</f>
        <v>#N/A</v>
      </c>
      <c r="AS13" t="e" cm="1">
        <f t="array" ref="AS13">_xlfn.IFS(VLOOKUP(AA13,$A$2:$B$1048576,2,FALSE)="DST",AA13,VLOOKUP(AB13,$A$2:$B$1048576,2,FALSE)="DST",AB13,VLOOKUP(AC13,$A$2:$B$1048576,2,FALSE)="DST",AC13,VLOOKUP(AD13,$A$2:$B$1048576,2,FALSE)="DST",AD13,VLOOKUP(AE13,$A$2:$B$1048576,2,FALSE)="DST",AE13,VLOOKUP(AF13,$A$2:$B$1048576,2,FALSE)="DST",AF13,VLOOKUP(AG13,$A$2:$B$1048576,2,FALSE)="DST",AG13,VLOOKUP(AH13,$A$2:$B$1048576,2,FALSE)="DST",AH13,VLOOKUP(AI13,$A$2:$B$1048576,2,FALSE)="DST",AI13)</f>
        <v>#N/A</v>
      </c>
    </row>
    <row r="14" spans="1:55" ht="15" thickBot="1" x14ac:dyDescent="0.4">
      <c r="A14" t="s">
        <v>35</v>
      </c>
      <c r="B14" s="11" t="s">
        <v>9</v>
      </c>
      <c r="C14" s="11">
        <v>6500</v>
      </c>
      <c r="D14" s="12">
        <v>16.101117222222221</v>
      </c>
      <c r="E14" s="12">
        <v>17.339335189244068</v>
      </c>
      <c r="F14" s="12">
        <v>36.180298774974048</v>
      </c>
      <c r="H14" s="11">
        <v>0</v>
      </c>
      <c r="I14">
        <f>IF(B14="QB",H14*1,0)</f>
        <v>0</v>
      </c>
      <c r="J14">
        <f>IF(B14="RB",H14*1,0)</f>
        <v>0</v>
      </c>
      <c r="K14">
        <f>IF(B14="WR",H14*1,0)</f>
        <v>0</v>
      </c>
      <c r="L14">
        <f>IF(B14="TE",H14*1,0)</f>
        <v>0</v>
      </c>
      <c r="M14">
        <f>IF(B14="DST",H14*1,0)</f>
        <v>0</v>
      </c>
      <c r="O14" s="31"/>
      <c r="P14" s="32"/>
      <c r="Q14" s="32"/>
      <c r="R14" s="33"/>
      <c r="T14" s="34" t="s">
        <v>11</v>
      </c>
      <c r="U14" s="15"/>
      <c r="V14" s="35">
        <f t="shared" si="5"/>
        <v>0</v>
      </c>
      <c r="W14" s="36">
        <f t="shared" si="6"/>
        <v>0</v>
      </c>
      <c r="X14" s="11">
        <f t="shared" si="0"/>
        <v>1</v>
      </c>
      <c r="Y14" s="9">
        <v>13</v>
      </c>
      <c r="Z14" s="12">
        <f t="shared" si="1"/>
        <v>0</v>
      </c>
      <c r="AK14" t="e" cm="1">
        <f t="array" ref="AK14">_xlfn.IFS(VLOOKUP(AA14,$A$2:$B$1048576,2,FALSE)="QB",AA14,VLOOKUP(AB14,$A$2:$B$1048576,2,FALSE)="QB",AB14,VLOOKUP(AC14,$A$2:$B$1048576,2,FALSE)="QB",AC14,VLOOKUP(AD14,$A$2:$B$1048576,2,FALSE)="QB",AD14,VLOOKUP(AE14,$A$2:$B$1048576,2,FALSE)="QB",AE14,VLOOKUP(AF14,$A$2:$B$1048576,2,FALSE)="QB",AF14,VLOOKUP(AG14,$A$2:$B$1048576,2,FALSE)="QB",AG14,VLOOKUP(AH14,$A$2:$B$1048576,2,FALSE)="QB",AH14,VLOOKUP(AI14,$A$2:$B$1048576,2,FALSE)="QB",AI14)</f>
        <v>#N/A</v>
      </c>
      <c r="AL14" t="e" cm="1">
        <f t="array" ref="AL14">_xlfn.IFS(VLOOKUP(AA14,$A$2:$B$1048576,2,FALSE)="RB",AA14,VLOOKUP(AB14,$A$2:$B$1048576,2,FALSE)="RB",AB14,VLOOKUP(AC14,$A$2:$B$1048576,2,FALSE)="RB",AC14,VLOOKUP(AD14,$A$2:$B$1048576,2,FALSE)="RB",AD14,VLOOKUP(AE14,$A$2:$B$1048576,2,FALSE)="RB",AE14,VLOOKUP(AF14,$A$2:$B$1048576,2,FALSE)="RB",AF14,VLOOKUP(AG14,$A$2:$B$1048576,2,FALSE)="RB",AG14,VLOOKUP(AH14,$A$2:$B$1048576,2,FALSE)="RB",AH14,VLOOKUP(AI14,$A$2:$B$1048576,2,FALSE)="RB",AI14)</f>
        <v>#N/A</v>
      </c>
      <c r="AM14" t="e">
        <f t="shared" si="2"/>
        <v>#N/A</v>
      </c>
      <c r="AN14" t="e" cm="1">
        <f t="array" ref="AN14">_xlfn.IFS(VLOOKUP(AA14,$A$2:$B$1048576,2,FALSE)="WR",AA14,VLOOKUP(AB14,$A$2:$B$1048576,2,FALSE)="WR",AB14,VLOOKUP(AC14,$A$2:$B$1048576,2,FALSE)="WR",AC14,VLOOKUP(AD14,$A$2:$B$1048576,2,FALSE)="WR",AD14,VLOOKUP(AE14,$A$2:$B$1048576,2,FALSE)="WR",AE14,VLOOKUP(AF14,$A$2:$B$1048576,2,FALSE)="WR",AF14,VLOOKUP(AG14,$A$2:$B$1048576,2,FALSE)="WR",AG14,VLOOKUP(AH14,$A$2:$B$1048576,2,FALSE)="WR",AH14,VLOOKUP(AI14,$A$2:$B$1048576,2,FALSE)="WR",AI14)</f>
        <v>#N/A</v>
      </c>
      <c r="AO14" t="e">
        <f t="shared" si="3"/>
        <v>#N/A</v>
      </c>
      <c r="AP14" t="e">
        <f t="shared" si="4"/>
        <v>#N/A</v>
      </c>
      <c r="AQ14" t="e" cm="1">
        <f t="array" ref="AQ14">_xlfn.IFS(VLOOKUP(AA14,$A$2:$B$1048576,2,FALSE)="TE",AA14,VLOOKUP(AB14,$A$2:$B$1048576,2,FALSE)="TE",AB14,VLOOKUP(AC14,$A$2:$B$1048576,2,FALSE)="TE",AC14,VLOOKUP(AD14,$A$2:$B$1048576,2,FALSE)="TE",AD14,VLOOKUP(AE14,$A$2:$B$1048576,2,FALSE)="TE",AE14,VLOOKUP(AF14,$A$2:$B$1048576,2,FALSE)="TE",AF14,VLOOKUP(AG14,$A$2:$B$1048576,2,FALSE)="TE",AG14,VLOOKUP(AH14,$A$2:$B$1048576,2,FALSE)="TE",AH14,VLOOKUP(AI14,$A$2:$B$1048576,2,FALSE)="TE",AI14)</f>
        <v>#N/A</v>
      </c>
      <c r="AR14" t="e" cm="1">
        <f t="array" ref="AR14">_xlfn.IFS(IF(OR(AA14=AK14,AA14=AL14,AA14=AM14,AA14=AN14,AA14=AO14,AA14=AP14,AA14=AQ14,AA14=AS14),1,0)=0,AA14,IF(OR(AB14=AK14,AB14=AL14,AB14=AM14,AB14=AN14,AB14=AO14,AB14=AP14,AB14=AQ14,AB14=AS14),1,0)=0,AB14,IF(OR(AC14=AK14,AC14=AL14,AC14=AM14,AC14=AN14,AC14=AO14,AC14=AP14,AC14=AQ14,AC14=AS14),1,0)=0,AC14,IF(OR(AD14=AK14,AD14=AL14,AD14=AM14,AD14=AN14,AD14=AO14,AD14=AP14,AD14=AQ14,AD14=AS14),1,0)=0,AD14,IF(OR(AE14=AK14,AE14=AL14,AE14=AM14,AE14=AN14,AE14=AO14,AE14=AP14,AE14=AQ14,AE14=AS14),1,0)=0,AE14,IF(OR(AF14=AK14,AF14=AL14,AF14=AM14,AF14=AN14,AF14=AO14,AF14=AP14,AF14=AQ14,AF14=AS14),1,0)=0,AF14,IF(OR(AG14=AK14,AG14=AL14,AG14=AM14,AG14=AN14,AG14=AO14,AG14=AP14,AG14=AQ14,AG14=AS14),1,0)=0,AG14,IF(OR(AH14=AK14,AH14=AL14,AH14=AM14,AH14=AN14,AH14=AO14,AH14=AP14,AH14=AQ14,AH14=AS14),1,0)=0,AH14,IF(OR(AI14=AK14,AI14=AL14,AI14=AM14,AI14=AN14,AI14=AO14,AI14=AP14,AI14=AQ14,AI14=AS14),1,0)=0,AI14)</f>
        <v>#N/A</v>
      </c>
      <c r="AS14" t="e" cm="1">
        <f t="array" ref="AS14">_xlfn.IFS(VLOOKUP(AA14,$A$2:$B$1048576,2,FALSE)="DST",AA14,VLOOKUP(AB14,$A$2:$B$1048576,2,FALSE)="DST",AB14,VLOOKUP(AC14,$A$2:$B$1048576,2,FALSE)="DST",AC14,VLOOKUP(AD14,$A$2:$B$1048576,2,FALSE)="DST",AD14,VLOOKUP(AE14,$A$2:$B$1048576,2,FALSE)="DST",AE14,VLOOKUP(AF14,$A$2:$B$1048576,2,FALSE)="DST",AF14,VLOOKUP(AG14,$A$2:$B$1048576,2,FALSE)="DST",AG14,VLOOKUP(AH14,$A$2:$B$1048576,2,FALSE)="DST",AH14,VLOOKUP(AI14,$A$2:$B$1048576,2,FALSE)="DST",AI14)</f>
        <v>#N/A</v>
      </c>
    </row>
    <row r="15" spans="1:55" ht="15" thickBot="1" x14ac:dyDescent="0.4">
      <c r="A15" t="s">
        <v>36</v>
      </c>
      <c r="B15" s="11" t="s">
        <v>9</v>
      </c>
      <c r="C15" s="11">
        <v>7100</v>
      </c>
      <c r="D15" s="12">
        <v>15.992728333333332</v>
      </c>
      <c r="E15" s="12">
        <v>17.699077217908233</v>
      </c>
      <c r="F15" s="12">
        <v>35.784322677116563</v>
      </c>
      <c r="H15" s="11">
        <v>0</v>
      </c>
      <c r="I15">
        <f>IF(B15="QB",H15*1,0)</f>
        <v>0</v>
      </c>
      <c r="J15">
        <f>IF(B15="RB",H15*1,0)</f>
        <v>0</v>
      </c>
      <c r="K15">
        <f>IF(B15="WR",H15*1,0)</f>
        <v>0</v>
      </c>
      <c r="L15">
        <f>IF(B15="TE",H15*1,0)</f>
        <v>0</v>
      </c>
      <c r="M15">
        <f>IF(B15="DST",H15*1,0)</f>
        <v>0</v>
      </c>
      <c r="O15" s="11"/>
      <c r="P15" s="11"/>
      <c r="Q15" s="11"/>
      <c r="T15" s="14"/>
      <c r="U15" s="15"/>
      <c r="V15" s="35">
        <f>SUM(V6:V14)</f>
        <v>0</v>
      </c>
      <c r="W15" s="36">
        <f>SUM(W6:W14)</f>
        <v>0</v>
      </c>
      <c r="X15" s="11">
        <f t="shared" si="0"/>
        <v>1</v>
      </c>
      <c r="Y15" s="9">
        <v>14</v>
      </c>
      <c r="Z15" s="12">
        <f t="shared" si="1"/>
        <v>0</v>
      </c>
      <c r="AK15" t="e" cm="1">
        <f t="array" ref="AK15">_xlfn.IFS(VLOOKUP(AA15,$A$2:$B$1048576,2,FALSE)="QB",AA15,VLOOKUP(AB15,$A$2:$B$1048576,2,FALSE)="QB",AB15,VLOOKUP(AC15,$A$2:$B$1048576,2,FALSE)="QB",AC15,VLOOKUP(AD15,$A$2:$B$1048576,2,FALSE)="QB",AD15,VLOOKUP(AE15,$A$2:$B$1048576,2,FALSE)="QB",AE15,VLOOKUP(AF15,$A$2:$B$1048576,2,FALSE)="QB",AF15,VLOOKUP(AG15,$A$2:$B$1048576,2,FALSE)="QB",AG15,VLOOKUP(AH15,$A$2:$B$1048576,2,FALSE)="QB",AH15,VLOOKUP(AI15,$A$2:$B$1048576,2,FALSE)="QB",AI15)</f>
        <v>#N/A</v>
      </c>
      <c r="AL15" t="e" cm="1">
        <f t="array" ref="AL15">_xlfn.IFS(VLOOKUP(AA15,$A$2:$B$1048576,2,FALSE)="RB",AA15,VLOOKUP(AB15,$A$2:$B$1048576,2,FALSE)="RB",AB15,VLOOKUP(AC15,$A$2:$B$1048576,2,FALSE)="RB",AC15,VLOOKUP(AD15,$A$2:$B$1048576,2,FALSE)="RB",AD15,VLOOKUP(AE15,$A$2:$B$1048576,2,FALSE)="RB",AE15,VLOOKUP(AF15,$A$2:$B$1048576,2,FALSE)="RB",AF15,VLOOKUP(AG15,$A$2:$B$1048576,2,FALSE)="RB",AG15,VLOOKUP(AH15,$A$2:$B$1048576,2,FALSE)="RB",AH15,VLOOKUP(AI15,$A$2:$B$1048576,2,FALSE)="RB",AI15)</f>
        <v>#N/A</v>
      </c>
      <c r="AM15" t="e">
        <f t="shared" si="2"/>
        <v>#N/A</v>
      </c>
      <c r="AN15" t="e" cm="1">
        <f t="array" ref="AN15">_xlfn.IFS(VLOOKUP(AA15,$A$2:$B$1048576,2,FALSE)="WR",AA15,VLOOKUP(AB15,$A$2:$B$1048576,2,FALSE)="WR",AB15,VLOOKUP(AC15,$A$2:$B$1048576,2,FALSE)="WR",AC15,VLOOKUP(AD15,$A$2:$B$1048576,2,FALSE)="WR",AD15,VLOOKUP(AE15,$A$2:$B$1048576,2,FALSE)="WR",AE15,VLOOKUP(AF15,$A$2:$B$1048576,2,FALSE)="WR",AF15,VLOOKUP(AG15,$A$2:$B$1048576,2,FALSE)="WR",AG15,VLOOKUP(AH15,$A$2:$B$1048576,2,FALSE)="WR",AH15,VLOOKUP(AI15,$A$2:$B$1048576,2,FALSE)="WR",AI15)</f>
        <v>#N/A</v>
      </c>
      <c r="AO15" t="e">
        <f t="shared" si="3"/>
        <v>#N/A</v>
      </c>
      <c r="AP15" t="e">
        <f t="shared" si="4"/>
        <v>#N/A</v>
      </c>
      <c r="AQ15" t="e" cm="1">
        <f t="array" ref="AQ15">_xlfn.IFS(VLOOKUP(AA15,$A$2:$B$1048576,2,FALSE)="TE",AA15,VLOOKUP(AB15,$A$2:$B$1048576,2,FALSE)="TE",AB15,VLOOKUP(AC15,$A$2:$B$1048576,2,FALSE)="TE",AC15,VLOOKUP(AD15,$A$2:$B$1048576,2,FALSE)="TE",AD15,VLOOKUP(AE15,$A$2:$B$1048576,2,FALSE)="TE",AE15,VLOOKUP(AF15,$A$2:$B$1048576,2,FALSE)="TE",AF15,VLOOKUP(AG15,$A$2:$B$1048576,2,FALSE)="TE",AG15,VLOOKUP(AH15,$A$2:$B$1048576,2,FALSE)="TE",AH15,VLOOKUP(AI15,$A$2:$B$1048576,2,FALSE)="TE",AI15)</f>
        <v>#N/A</v>
      </c>
      <c r="AR15" t="e" cm="1">
        <f t="array" ref="AR15">_xlfn.IFS(IF(OR(AA15=AK15,AA15=AL15,AA15=AM15,AA15=AN15,AA15=AO15,AA15=AP15,AA15=AQ15,AA15=AS15),1,0)=0,AA15,IF(OR(AB15=AK15,AB15=AL15,AB15=AM15,AB15=AN15,AB15=AO15,AB15=AP15,AB15=AQ15,AB15=AS15),1,0)=0,AB15,IF(OR(AC15=AK15,AC15=AL15,AC15=AM15,AC15=AN15,AC15=AO15,AC15=AP15,AC15=AQ15,AC15=AS15),1,0)=0,AC15,IF(OR(AD15=AK15,AD15=AL15,AD15=AM15,AD15=AN15,AD15=AO15,AD15=AP15,AD15=AQ15,AD15=AS15),1,0)=0,AD15,IF(OR(AE15=AK15,AE15=AL15,AE15=AM15,AE15=AN15,AE15=AO15,AE15=AP15,AE15=AQ15,AE15=AS15),1,0)=0,AE15,IF(OR(AF15=AK15,AF15=AL15,AF15=AM15,AF15=AN15,AF15=AO15,AF15=AP15,AF15=AQ15,AF15=AS15),1,0)=0,AF15,IF(OR(AG15=AK15,AG15=AL15,AG15=AM15,AG15=AN15,AG15=AO15,AG15=AP15,AG15=AQ15,AG15=AS15),1,0)=0,AG15,IF(OR(AH15=AK15,AH15=AL15,AH15=AM15,AH15=AN15,AH15=AO15,AH15=AP15,AH15=AQ15,AH15=AS15),1,0)=0,AH15,IF(OR(AI15=AK15,AI15=AL15,AI15=AM15,AI15=AN15,AI15=AO15,AI15=AP15,AI15=AQ15,AI15=AS15),1,0)=0,AI15)</f>
        <v>#N/A</v>
      </c>
      <c r="AS15" t="e" cm="1">
        <f t="array" ref="AS15">_xlfn.IFS(VLOOKUP(AA15,$A$2:$B$1048576,2,FALSE)="DST",AA15,VLOOKUP(AB15,$A$2:$B$1048576,2,FALSE)="DST",AB15,VLOOKUP(AC15,$A$2:$B$1048576,2,FALSE)="DST",AC15,VLOOKUP(AD15,$A$2:$B$1048576,2,FALSE)="DST",AD15,VLOOKUP(AE15,$A$2:$B$1048576,2,FALSE)="DST",AE15,VLOOKUP(AF15,$A$2:$B$1048576,2,FALSE)="DST",AF15,VLOOKUP(AG15,$A$2:$B$1048576,2,FALSE)="DST",AG15,VLOOKUP(AH15,$A$2:$B$1048576,2,FALSE)="DST",AH15,VLOOKUP(AI15,$A$2:$B$1048576,2,FALSE)="DST",AI15)</f>
        <v>#N/A</v>
      </c>
    </row>
    <row r="16" spans="1:55" x14ac:dyDescent="0.35">
      <c r="A16" t="s">
        <v>37</v>
      </c>
      <c r="B16" s="11" t="s">
        <v>9</v>
      </c>
      <c r="C16" s="11">
        <v>6900</v>
      </c>
      <c r="D16" s="12">
        <v>15.536728333333333</v>
      </c>
      <c r="E16" s="12">
        <v>17.791568247382706</v>
      </c>
      <c r="F16" s="12">
        <v>34.424119474311553</v>
      </c>
      <c r="H16" s="11">
        <v>0</v>
      </c>
      <c r="I16">
        <f>IF(B16="QB",H16*1,0)</f>
        <v>0</v>
      </c>
      <c r="J16">
        <f>IF(B16="RB",H16*1,0)</f>
        <v>0</v>
      </c>
      <c r="K16">
        <f>IF(B16="WR",H16*1,0)</f>
        <v>0</v>
      </c>
      <c r="L16">
        <f>IF(B16="TE",H16*1,0)</f>
        <v>0</v>
      </c>
      <c r="M16">
        <f>IF(B16="DST",H16*1,0)</f>
        <v>0</v>
      </c>
      <c r="O16" s="11"/>
      <c r="V16" s="11"/>
      <c r="W16" s="11"/>
      <c r="X16" s="11">
        <f t="shared" si="0"/>
        <v>1</v>
      </c>
      <c r="Y16" s="9">
        <v>15</v>
      </c>
      <c r="Z16" s="12">
        <f t="shared" si="1"/>
        <v>0</v>
      </c>
      <c r="AK16" t="e" cm="1">
        <f t="array" ref="AK16">_xlfn.IFS(VLOOKUP(AA16,$A$2:$B$1048576,2,FALSE)="QB",AA16,VLOOKUP(AB16,$A$2:$B$1048576,2,FALSE)="QB",AB16,VLOOKUP(AC16,$A$2:$B$1048576,2,FALSE)="QB",AC16,VLOOKUP(AD16,$A$2:$B$1048576,2,FALSE)="QB",AD16,VLOOKUP(AE16,$A$2:$B$1048576,2,FALSE)="QB",AE16,VLOOKUP(AF16,$A$2:$B$1048576,2,FALSE)="QB",AF16,VLOOKUP(AG16,$A$2:$B$1048576,2,FALSE)="QB",AG16,VLOOKUP(AH16,$A$2:$B$1048576,2,FALSE)="QB",AH16,VLOOKUP(AI16,$A$2:$B$1048576,2,FALSE)="QB",AI16)</f>
        <v>#N/A</v>
      </c>
      <c r="AL16" t="e" cm="1">
        <f t="array" ref="AL16">_xlfn.IFS(VLOOKUP(AA16,$A$2:$B$1048576,2,FALSE)="RB",AA16,VLOOKUP(AB16,$A$2:$B$1048576,2,FALSE)="RB",AB16,VLOOKUP(AC16,$A$2:$B$1048576,2,FALSE)="RB",AC16,VLOOKUP(AD16,$A$2:$B$1048576,2,FALSE)="RB",AD16,VLOOKUP(AE16,$A$2:$B$1048576,2,FALSE)="RB",AE16,VLOOKUP(AF16,$A$2:$B$1048576,2,FALSE)="RB",AF16,VLOOKUP(AG16,$A$2:$B$1048576,2,FALSE)="RB",AG16,VLOOKUP(AH16,$A$2:$B$1048576,2,FALSE)="RB",AH16,VLOOKUP(AI16,$A$2:$B$1048576,2,FALSE)="RB",AI16)</f>
        <v>#N/A</v>
      </c>
      <c r="AM16" t="e">
        <f t="shared" si="2"/>
        <v>#N/A</v>
      </c>
      <c r="AN16" t="e" cm="1">
        <f t="array" ref="AN16">_xlfn.IFS(VLOOKUP(AA16,$A$2:$B$1048576,2,FALSE)="WR",AA16,VLOOKUP(AB16,$A$2:$B$1048576,2,FALSE)="WR",AB16,VLOOKUP(AC16,$A$2:$B$1048576,2,FALSE)="WR",AC16,VLOOKUP(AD16,$A$2:$B$1048576,2,FALSE)="WR",AD16,VLOOKUP(AE16,$A$2:$B$1048576,2,FALSE)="WR",AE16,VLOOKUP(AF16,$A$2:$B$1048576,2,FALSE)="WR",AF16,VLOOKUP(AG16,$A$2:$B$1048576,2,FALSE)="WR",AG16,VLOOKUP(AH16,$A$2:$B$1048576,2,FALSE)="WR",AH16,VLOOKUP(AI16,$A$2:$B$1048576,2,FALSE)="WR",AI16)</f>
        <v>#N/A</v>
      </c>
      <c r="AO16" t="e">
        <f t="shared" si="3"/>
        <v>#N/A</v>
      </c>
      <c r="AP16" t="e">
        <f t="shared" si="4"/>
        <v>#N/A</v>
      </c>
      <c r="AQ16" t="e" cm="1">
        <f t="array" ref="AQ16">_xlfn.IFS(VLOOKUP(AA16,$A$2:$B$1048576,2,FALSE)="TE",AA16,VLOOKUP(AB16,$A$2:$B$1048576,2,FALSE)="TE",AB16,VLOOKUP(AC16,$A$2:$B$1048576,2,FALSE)="TE",AC16,VLOOKUP(AD16,$A$2:$B$1048576,2,FALSE)="TE",AD16,VLOOKUP(AE16,$A$2:$B$1048576,2,FALSE)="TE",AE16,VLOOKUP(AF16,$A$2:$B$1048576,2,FALSE)="TE",AF16,VLOOKUP(AG16,$A$2:$B$1048576,2,FALSE)="TE",AG16,VLOOKUP(AH16,$A$2:$B$1048576,2,FALSE)="TE",AH16,VLOOKUP(AI16,$A$2:$B$1048576,2,FALSE)="TE",AI16)</f>
        <v>#N/A</v>
      </c>
      <c r="AR16" t="e" cm="1">
        <f t="array" ref="AR16">_xlfn.IFS(IF(OR(AA16=AK16,AA16=AL16,AA16=AM16,AA16=AN16,AA16=AO16,AA16=AP16,AA16=AQ16,AA16=AS16),1,0)=0,AA16,IF(OR(AB16=AK16,AB16=AL16,AB16=AM16,AB16=AN16,AB16=AO16,AB16=AP16,AB16=AQ16,AB16=AS16),1,0)=0,AB16,IF(OR(AC16=AK16,AC16=AL16,AC16=AM16,AC16=AN16,AC16=AO16,AC16=AP16,AC16=AQ16,AC16=AS16),1,0)=0,AC16,IF(OR(AD16=AK16,AD16=AL16,AD16=AM16,AD16=AN16,AD16=AO16,AD16=AP16,AD16=AQ16,AD16=AS16),1,0)=0,AD16,IF(OR(AE16=AK16,AE16=AL16,AE16=AM16,AE16=AN16,AE16=AO16,AE16=AP16,AE16=AQ16,AE16=AS16),1,0)=0,AE16,IF(OR(AF16=AK16,AF16=AL16,AF16=AM16,AF16=AN16,AF16=AO16,AF16=AP16,AF16=AQ16,AF16=AS16),1,0)=0,AF16,IF(OR(AG16=AK16,AG16=AL16,AG16=AM16,AG16=AN16,AG16=AO16,AG16=AP16,AG16=AQ16,AG16=AS16),1,0)=0,AG16,IF(OR(AH16=AK16,AH16=AL16,AH16=AM16,AH16=AN16,AH16=AO16,AH16=AP16,AH16=AQ16,AH16=AS16),1,0)=0,AH16,IF(OR(AI16=AK16,AI16=AL16,AI16=AM16,AI16=AN16,AI16=AO16,AI16=AP16,AI16=AQ16,AI16=AS16),1,0)=0,AI16)</f>
        <v>#N/A</v>
      </c>
      <c r="AS16" t="e" cm="1">
        <f t="array" ref="AS16">_xlfn.IFS(VLOOKUP(AA16,$A$2:$B$1048576,2,FALSE)="DST",AA16,VLOOKUP(AB16,$A$2:$B$1048576,2,FALSE)="DST",AB16,VLOOKUP(AC16,$A$2:$B$1048576,2,FALSE)="DST",AC16,VLOOKUP(AD16,$A$2:$B$1048576,2,FALSE)="DST",AD16,VLOOKUP(AE16,$A$2:$B$1048576,2,FALSE)="DST",AE16,VLOOKUP(AF16,$A$2:$B$1048576,2,FALSE)="DST",AF16,VLOOKUP(AG16,$A$2:$B$1048576,2,FALSE)="DST",AG16,VLOOKUP(AH16,$A$2:$B$1048576,2,FALSE)="DST",AH16,VLOOKUP(AI16,$A$2:$B$1048576,2,FALSE)="DST",AI16)</f>
        <v>#N/A</v>
      </c>
    </row>
    <row r="17" spans="1:45" x14ac:dyDescent="0.35">
      <c r="A17" t="s">
        <v>38</v>
      </c>
      <c r="B17" s="11" t="s">
        <v>9</v>
      </c>
      <c r="C17" s="11">
        <v>6600</v>
      </c>
      <c r="D17" s="12">
        <v>15.372589444444442</v>
      </c>
      <c r="E17" s="12">
        <v>15.581428570622643</v>
      </c>
      <c r="F17" s="12">
        <v>33.958041759071889</v>
      </c>
      <c r="H17" s="11">
        <v>0</v>
      </c>
      <c r="I17">
        <f>IF(B17="QB",H17*1,0)</f>
        <v>0</v>
      </c>
      <c r="J17">
        <f>IF(B17="RB",H17*1,0)</f>
        <v>0</v>
      </c>
      <c r="K17">
        <f>IF(B17="WR",H17*1,0)</f>
        <v>0</v>
      </c>
      <c r="L17">
        <f>IF(B17="TE",H17*1,0)</f>
        <v>0</v>
      </c>
      <c r="M17">
        <f>IF(B17="DST",H17*1,0)</f>
        <v>0</v>
      </c>
      <c r="O17" s="11"/>
      <c r="U17" t="s">
        <v>39</v>
      </c>
      <c r="V17" s="11">
        <f>50000-V15</f>
        <v>50000</v>
      </c>
      <c r="W17" s="11"/>
      <c r="X17" s="11">
        <f t="shared" si="0"/>
        <v>1</v>
      </c>
      <c r="Y17" s="9">
        <v>16</v>
      </c>
      <c r="Z17" s="12">
        <f t="shared" si="1"/>
        <v>0</v>
      </c>
      <c r="AK17" t="e" cm="1">
        <f t="array" ref="AK17">_xlfn.IFS(VLOOKUP(AA17,$A$2:$B$1048576,2,FALSE)="QB",AA17,VLOOKUP(AB17,$A$2:$B$1048576,2,FALSE)="QB",AB17,VLOOKUP(AC17,$A$2:$B$1048576,2,FALSE)="QB",AC17,VLOOKUP(AD17,$A$2:$B$1048576,2,FALSE)="QB",AD17,VLOOKUP(AE17,$A$2:$B$1048576,2,FALSE)="QB",AE17,VLOOKUP(AF17,$A$2:$B$1048576,2,FALSE)="QB",AF17,VLOOKUP(AG17,$A$2:$B$1048576,2,FALSE)="QB",AG17,VLOOKUP(AH17,$A$2:$B$1048576,2,FALSE)="QB",AH17,VLOOKUP(AI17,$A$2:$B$1048576,2,FALSE)="QB",AI17)</f>
        <v>#N/A</v>
      </c>
      <c r="AL17" t="e" cm="1">
        <f t="array" ref="AL17">_xlfn.IFS(VLOOKUP(AA17,$A$2:$B$1048576,2,FALSE)="RB",AA17,VLOOKUP(AB17,$A$2:$B$1048576,2,FALSE)="RB",AB17,VLOOKUP(AC17,$A$2:$B$1048576,2,FALSE)="RB",AC17,VLOOKUP(AD17,$A$2:$B$1048576,2,FALSE)="RB",AD17,VLOOKUP(AE17,$A$2:$B$1048576,2,FALSE)="RB",AE17,VLOOKUP(AF17,$A$2:$B$1048576,2,FALSE)="RB",AF17,VLOOKUP(AG17,$A$2:$B$1048576,2,FALSE)="RB",AG17,VLOOKUP(AH17,$A$2:$B$1048576,2,FALSE)="RB",AH17,VLOOKUP(AI17,$A$2:$B$1048576,2,FALSE)="RB",AI17)</f>
        <v>#N/A</v>
      </c>
      <c r="AM17" t="e">
        <f t="shared" si="2"/>
        <v>#N/A</v>
      </c>
      <c r="AN17" t="e" cm="1">
        <f t="array" ref="AN17">_xlfn.IFS(VLOOKUP(AA17,$A$2:$B$1048576,2,FALSE)="WR",AA17,VLOOKUP(AB17,$A$2:$B$1048576,2,FALSE)="WR",AB17,VLOOKUP(AC17,$A$2:$B$1048576,2,FALSE)="WR",AC17,VLOOKUP(AD17,$A$2:$B$1048576,2,FALSE)="WR",AD17,VLOOKUP(AE17,$A$2:$B$1048576,2,FALSE)="WR",AE17,VLOOKUP(AF17,$A$2:$B$1048576,2,FALSE)="WR",AF17,VLOOKUP(AG17,$A$2:$B$1048576,2,FALSE)="WR",AG17,VLOOKUP(AH17,$A$2:$B$1048576,2,FALSE)="WR",AH17,VLOOKUP(AI17,$A$2:$B$1048576,2,FALSE)="WR",AI17)</f>
        <v>#N/A</v>
      </c>
      <c r="AO17" t="e">
        <f t="shared" si="3"/>
        <v>#N/A</v>
      </c>
      <c r="AP17" t="e">
        <f t="shared" si="4"/>
        <v>#N/A</v>
      </c>
      <c r="AQ17" t="e" cm="1">
        <f t="array" ref="AQ17">_xlfn.IFS(VLOOKUP(AA17,$A$2:$B$1048576,2,FALSE)="TE",AA17,VLOOKUP(AB17,$A$2:$B$1048576,2,FALSE)="TE",AB17,VLOOKUP(AC17,$A$2:$B$1048576,2,FALSE)="TE",AC17,VLOOKUP(AD17,$A$2:$B$1048576,2,FALSE)="TE",AD17,VLOOKUP(AE17,$A$2:$B$1048576,2,FALSE)="TE",AE17,VLOOKUP(AF17,$A$2:$B$1048576,2,FALSE)="TE",AF17,VLOOKUP(AG17,$A$2:$B$1048576,2,FALSE)="TE",AG17,VLOOKUP(AH17,$A$2:$B$1048576,2,FALSE)="TE",AH17,VLOOKUP(AI17,$A$2:$B$1048576,2,FALSE)="TE",AI17)</f>
        <v>#N/A</v>
      </c>
      <c r="AR17" t="e" cm="1">
        <f t="array" ref="AR17">_xlfn.IFS(IF(OR(AA17=AK17,AA17=AL17,AA17=AM17,AA17=AN17,AA17=AO17,AA17=AP17,AA17=AQ17,AA17=AS17),1,0)=0,AA17,IF(OR(AB17=AK17,AB17=AL17,AB17=AM17,AB17=AN17,AB17=AO17,AB17=AP17,AB17=AQ17,AB17=AS17),1,0)=0,AB17,IF(OR(AC17=AK17,AC17=AL17,AC17=AM17,AC17=AN17,AC17=AO17,AC17=AP17,AC17=AQ17,AC17=AS17),1,0)=0,AC17,IF(OR(AD17=AK17,AD17=AL17,AD17=AM17,AD17=AN17,AD17=AO17,AD17=AP17,AD17=AQ17,AD17=AS17),1,0)=0,AD17,IF(OR(AE17=AK17,AE17=AL17,AE17=AM17,AE17=AN17,AE17=AO17,AE17=AP17,AE17=AQ17,AE17=AS17),1,0)=0,AE17,IF(OR(AF17=AK17,AF17=AL17,AF17=AM17,AF17=AN17,AF17=AO17,AF17=AP17,AF17=AQ17,AF17=AS17),1,0)=0,AF17,IF(OR(AG17=AK17,AG17=AL17,AG17=AM17,AG17=AN17,AG17=AO17,AG17=AP17,AG17=AQ17,AG17=AS17),1,0)=0,AG17,IF(OR(AH17=AK17,AH17=AL17,AH17=AM17,AH17=AN17,AH17=AO17,AH17=AP17,AH17=AQ17,AH17=AS17),1,0)=0,AH17,IF(OR(AI17=AK17,AI17=AL17,AI17=AM17,AI17=AN17,AI17=AO17,AI17=AP17,AI17=AQ17,AI17=AS17),1,0)=0,AI17)</f>
        <v>#N/A</v>
      </c>
      <c r="AS17" t="e" cm="1">
        <f t="array" ref="AS17">_xlfn.IFS(VLOOKUP(AA17,$A$2:$B$1048576,2,FALSE)="DST",AA17,VLOOKUP(AB17,$A$2:$B$1048576,2,FALSE)="DST",AB17,VLOOKUP(AC17,$A$2:$B$1048576,2,FALSE)="DST",AC17,VLOOKUP(AD17,$A$2:$B$1048576,2,FALSE)="DST",AD17,VLOOKUP(AE17,$A$2:$B$1048576,2,FALSE)="DST",AE17,VLOOKUP(AF17,$A$2:$B$1048576,2,FALSE)="DST",AF17,VLOOKUP(AG17,$A$2:$B$1048576,2,FALSE)="DST",AG17,VLOOKUP(AH17,$A$2:$B$1048576,2,FALSE)="DST",AH17,VLOOKUP(AI17,$A$2:$B$1048576,2,FALSE)="DST",AI17)</f>
        <v>#N/A</v>
      </c>
    </row>
    <row r="18" spans="1:45" x14ac:dyDescent="0.35">
      <c r="A18" t="s">
        <v>40</v>
      </c>
      <c r="B18" s="11" t="s">
        <v>9</v>
      </c>
      <c r="C18" s="11">
        <v>6400</v>
      </c>
      <c r="D18" s="12">
        <v>15.313394999999998</v>
      </c>
      <c r="E18" s="12">
        <v>16.09103782351572</v>
      </c>
      <c r="F18" s="12">
        <v>33.800482578113389</v>
      </c>
      <c r="H18" s="11">
        <v>0</v>
      </c>
      <c r="I18">
        <f>IF(B18="QB",H18*1,0)</f>
        <v>0</v>
      </c>
      <c r="J18">
        <f>IF(B18="RB",H18*1,0)</f>
        <v>0</v>
      </c>
      <c r="K18">
        <f>IF(B18="WR",H18*1,0)</f>
        <v>0</v>
      </c>
      <c r="L18">
        <f>IF(B18="TE",H18*1,0)</f>
        <v>0</v>
      </c>
      <c r="M18">
        <f>IF(B18="DST",H18*1,0)</f>
        <v>0</v>
      </c>
      <c r="O18" s="11"/>
      <c r="U18" t="s">
        <v>41</v>
      </c>
      <c r="V18" s="11">
        <f>IFERROR(V17/COUNTIF(V6:V14,0),"-")</f>
        <v>5555.5555555555557</v>
      </c>
      <c r="X18" s="11">
        <f t="shared" si="0"/>
        <v>1</v>
      </c>
      <c r="Y18" s="9">
        <v>17</v>
      </c>
      <c r="Z18" s="12">
        <f t="shared" si="1"/>
        <v>0</v>
      </c>
      <c r="AK18" t="e" cm="1">
        <f t="array" ref="AK18">_xlfn.IFS(VLOOKUP(AA18,$A$2:$B$1048576,2,FALSE)="QB",AA18,VLOOKUP(AB18,$A$2:$B$1048576,2,FALSE)="QB",AB18,VLOOKUP(AC18,$A$2:$B$1048576,2,FALSE)="QB",AC18,VLOOKUP(AD18,$A$2:$B$1048576,2,FALSE)="QB",AD18,VLOOKUP(AE18,$A$2:$B$1048576,2,FALSE)="QB",AE18,VLOOKUP(AF18,$A$2:$B$1048576,2,FALSE)="QB",AF18,VLOOKUP(AG18,$A$2:$B$1048576,2,FALSE)="QB",AG18,VLOOKUP(AH18,$A$2:$B$1048576,2,FALSE)="QB",AH18,VLOOKUP(AI18,$A$2:$B$1048576,2,FALSE)="QB",AI18)</f>
        <v>#N/A</v>
      </c>
      <c r="AL18" t="e" cm="1">
        <f t="array" ref="AL18">_xlfn.IFS(VLOOKUP(AA18,$A$2:$B$1048576,2,FALSE)="RB",AA18,VLOOKUP(AB18,$A$2:$B$1048576,2,FALSE)="RB",AB18,VLOOKUP(AC18,$A$2:$B$1048576,2,FALSE)="RB",AC18,VLOOKUP(AD18,$A$2:$B$1048576,2,FALSE)="RB",AD18,VLOOKUP(AE18,$A$2:$B$1048576,2,FALSE)="RB",AE18,VLOOKUP(AF18,$A$2:$B$1048576,2,FALSE)="RB",AF18,VLOOKUP(AG18,$A$2:$B$1048576,2,FALSE)="RB",AG18,VLOOKUP(AH18,$A$2:$B$1048576,2,FALSE)="RB",AH18,VLOOKUP(AI18,$A$2:$B$1048576,2,FALSE)="RB",AI18)</f>
        <v>#N/A</v>
      </c>
      <c r="AM18" t="e">
        <f t="shared" si="2"/>
        <v>#N/A</v>
      </c>
      <c r="AN18" t="e" cm="1">
        <f t="array" ref="AN18">_xlfn.IFS(VLOOKUP(AA18,$A$2:$B$1048576,2,FALSE)="WR",AA18,VLOOKUP(AB18,$A$2:$B$1048576,2,FALSE)="WR",AB18,VLOOKUP(AC18,$A$2:$B$1048576,2,FALSE)="WR",AC18,VLOOKUP(AD18,$A$2:$B$1048576,2,FALSE)="WR",AD18,VLOOKUP(AE18,$A$2:$B$1048576,2,FALSE)="WR",AE18,VLOOKUP(AF18,$A$2:$B$1048576,2,FALSE)="WR",AF18,VLOOKUP(AG18,$A$2:$B$1048576,2,FALSE)="WR",AG18,VLOOKUP(AH18,$A$2:$B$1048576,2,FALSE)="WR",AH18,VLOOKUP(AI18,$A$2:$B$1048576,2,FALSE)="WR",AI18)</f>
        <v>#N/A</v>
      </c>
      <c r="AO18" t="e">
        <f t="shared" si="3"/>
        <v>#N/A</v>
      </c>
      <c r="AP18" t="e">
        <f t="shared" si="4"/>
        <v>#N/A</v>
      </c>
      <c r="AQ18" t="e" cm="1">
        <f t="array" ref="AQ18">_xlfn.IFS(VLOOKUP(AA18,$A$2:$B$1048576,2,FALSE)="TE",AA18,VLOOKUP(AB18,$A$2:$B$1048576,2,FALSE)="TE",AB18,VLOOKUP(AC18,$A$2:$B$1048576,2,FALSE)="TE",AC18,VLOOKUP(AD18,$A$2:$B$1048576,2,FALSE)="TE",AD18,VLOOKUP(AE18,$A$2:$B$1048576,2,FALSE)="TE",AE18,VLOOKUP(AF18,$A$2:$B$1048576,2,FALSE)="TE",AF18,VLOOKUP(AG18,$A$2:$B$1048576,2,FALSE)="TE",AG18,VLOOKUP(AH18,$A$2:$B$1048576,2,FALSE)="TE",AH18,VLOOKUP(AI18,$A$2:$B$1048576,2,FALSE)="TE",AI18)</f>
        <v>#N/A</v>
      </c>
      <c r="AR18" t="e" cm="1">
        <f t="array" ref="AR18">_xlfn.IFS(IF(OR(AA18=AK18,AA18=AL18,AA18=AM18,AA18=AN18,AA18=AO18,AA18=AP18,AA18=AQ18,AA18=AS18),1,0)=0,AA18,IF(OR(AB18=AK18,AB18=AL18,AB18=AM18,AB18=AN18,AB18=AO18,AB18=AP18,AB18=AQ18,AB18=AS18),1,0)=0,AB18,IF(OR(AC18=AK18,AC18=AL18,AC18=AM18,AC18=AN18,AC18=AO18,AC18=AP18,AC18=AQ18,AC18=AS18),1,0)=0,AC18,IF(OR(AD18=AK18,AD18=AL18,AD18=AM18,AD18=AN18,AD18=AO18,AD18=AP18,AD18=AQ18,AD18=AS18),1,0)=0,AD18,IF(OR(AE18=AK18,AE18=AL18,AE18=AM18,AE18=AN18,AE18=AO18,AE18=AP18,AE18=AQ18,AE18=AS18),1,0)=0,AE18,IF(OR(AF18=AK18,AF18=AL18,AF18=AM18,AF18=AN18,AF18=AO18,AF18=AP18,AF18=AQ18,AF18=AS18),1,0)=0,AF18,IF(OR(AG18=AK18,AG18=AL18,AG18=AM18,AG18=AN18,AG18=AO18,AG18=AP18,AG18=AQ18,AG18=AS18),1,0)=0,AG18,IF(OR(AH18=AK18,AH18=AL18,AH18=AM18,AH18=AN18,AH18=AO18,AH18=AP18,AH18=AQ18,AH18=AS18),1,0)=0,AH18,IF(OR(AI18=AK18,AI18=AL18,AI18=AM18,AI18=AN18,AI18=AO18,AI18=AP18,AI18=AQ18,AI18=AS18),1,0)=0,AI18)</f>
        <v>#N/A</v>
      </c>
      <c r="AS18" t="e" cm="1">
        <f t="array" ref="AS18">_xlfn.IFS(VLOOKUP(AA18,$A$2:$B$1048576,2,FALSE)="DST",AA18,VLOOKUP(AB18,$A$2:$B$1048576,2,FALSE)="DST",AB18,VLOOKUP(AC18,$A$2:$B$1048576,2,FALSE)="DST",AC18,VLOOKUP(AD18,$A$2:$B$1048576,2,FALSE)="DST",AD18,VLOOKUP(AE18,$A$2:$B$1048576,2,FALSE)="DST",AE18,VLOOKUP(AF18,$A$2:$B$1048576,2,FALSE)="DST",AF18,VLOOKUP(AG18,$A$2:$B$1048576,2,FALSE)="DST",AG18,VLOOKUP(AH18,$A$2:$B$1048576,2,FALSE)="DST",AH18,VLOOKUP(AI18,$A$2:$B$1048576,2,FALSE)="DST",AI18)</f>
        <v>#N/A</v>
      </c>
    </row>
    <row r="19" spans="1:45" ht="15.75" customHeight="1" x14ac:dyDescent="0.35">
      <c r="A19" t="s">
        <v>42</v>
      </c>
      <c r="B19" s="11" t="s">
        <v>9</v>
      </c>
      <c r="C19" s="11">
        <v>6400</v>
      </c>
      <c r="D19" s="12">
        <v>15.199506111111109</v>
      </c>
      <c r="E19" s="12">
        <v>16.175186219574741</v>
      </c>
      <c r="F19" s="12">
        <v>33.455064821641152</v>
      </c>
      <c r="H19" s="11">
        <v>0</v>
      </c>
      <c r="I19">
        <f>IF(B19="QB",H19*1,0)</f>
        <v>0</v>
      </c>
      <c r="J19">
        <f>IF(B19="RB",H19*1,0)</f>
        <v>0</v>
      </c>
      <c r="K19">
        <f>IF(B19="WR",H19*1,0)</f>
        <v>0</v>
      </c>
      <c r="L19">
        <f>IF(B19="TE",H19*1,0)</f>
        <v>0</v>
      </c>
      <c r="M19">
        <f>IF(B19="DST",H19*1,0)</f>
        <v>0</v>
      </c>
      <c r="O19" s="11"/>
      <c r="X19" s="11">
        <f t="shared" si="0"/>
        <v>1</v>
      </c>
      <c r="Y19" s="9">
        <v>18</v>
      </c>
      <c r="Z19" s="12">
        <f t="shared" si="1"/>
        <v>0</v>
      </c>
      <c r="AK19" t="e" cm="1">
        <f t="array" ref="AK19">_xlfn.IFS(VLOOKUP(AA19,$A$2:$B$1048576,2,FALSE)="QB",AA19,VLOOKUP(AB19,$A$2:$B$1048576,2,FALSE)="QB",AB19,VLOOKUP(AC19,$A$2:$B$1048576,2,FALSE)="QB",AC19,VLOOKUP(AD19,$A$2:$B$1048576,2,FALSE)="QB",AD19,VLOOKUP(AE19,$A$2:$B$1048576,2,FALSE)="QB",AE19,VLOOKUP(AF19,$A$2:$B$1048576,2,FALSE)="QB",AF19,VLOOKUP(AG19,$A$2:$B$1048576,2,FALSE)="QB",AG19,VLOOKUP(AH19,$A$2:$B$1048576,2,FALSE)="QB",AH19,VLOOKUP(AI19,$A$2:$B$1048576,2,FALSE)="QB",AI19)</f>
        <v>#N/A</v>
      </c>
      <c r="AL19" t="e" cm="1">
        <f t="array" ref="AL19">_xlfn.IFS(VLOOKUP(AA19,$A$2:$B$1048576,2,FALSE)="RB",AA19,VLOOKUP(AB19,$A$2:$B$1048576,2,FALSE)="RB",AB19,VLOOKUP(AC19,$A$2:$B$1048576,2,FALSE)="RB",AC19,VLOOKUP(AD19,$A$2:$B$1048576,2,FALSE)="RB",AD19,VLOOKUP(AE19,$A$2:$B$1048576,2,FALSE)="RB",AE19,VLOOKUP(AF19,$A$2:$B$1048576,2,FALSE)="RB",AF19,VLOOKUP(AG19,$A$2:$B$1048576,2,FALSE)="RB",AG19,VLOOKUP(AH19,$A$2:$B$1048576,2,FALSE)="RB",AH19,VLOOKUP(AI19,$A$2:$B$1048576,2,FALSE)="RB",AI19)</f>
        <v>#N/A</v>
      </c>
      <c r="AM19" t="e">
        <f t="shared" si="2"/>
        <v>#N/A</v>
      </c>
      <c r="AN19" t="e" cm="1">
        <f t="array" ref="AN19">_xlfn.IFS(VLOOKUP(AA19,$A$2:$B$1048576,2,FALSE)="WR",AA19,VLOOKUP(AB19,$A$2:$B$1048576,2,FALSE)="WR",AB19,VLOOKUP(AC19,$A$2:$B$1048576,2,FALSE)="WR",AC19,VLOOKUP(AD19,$A$2:$B$1048576,2,FALSE)="WR",AD19,VLOOKUP(AE19,$A$2:$B$1048576,2,FALSE)="WR",AE19,VLOOKUP(AF19,$A$2:$B$1048576,2,FALSE)="WR",AF19,VLOOKUP(AG19,$A$2:$B$1048576,2,FALSE)="WR",AG19,VLOOKUP(AH19,$A$2:$B$1048576,2,FALSE)="WR",AH19,VLOOKUP(AI19,$A$2:$B$1048576,2,FALSE)="WR",AI19)</f>
        <v>#N/A</v>
      </c>
      <c r="AO19" t="e">
        <f t="shared" si="3"/>
        <v>#N/A</v>
      </c>
      <c r="AP19" t="e">
        <f t="shared" si="4"/>
        <v>#N/A</v>
      </c>
      <c r="AQ19" t="e" cm="1">
        <f t="array" ref="AQ19">_xlfn.IFS(VLOOKUP(AA19,$A$2:$B$1048576,2,FALSE)="TE",AA19,VLOOKUP(AB19,$A$2:$B$1048576,2,FALSE)="TE",AB19,VLOOKUP(AC19,$A$2:$B$1048576,2,FALSE)="TE",AC19,VLOOKUP(AD19,$A$2:$B$1048576,2,FALSE)="TE",AD19,VLOOKUP(AE19,$A$2:$B$1048576,2,FALSE)="TE",AE19,VLOOKUP(AF19,$A$2:$B$1048576,2,FALSE)="TE",AF19,VLOOKUP(AG19,$A$2:$B$1048576,2,FALSE)="TE",AG19,VLOOKUP(AH19,$A$2:$B$1048576,2,FALSE)="TE",AH19,VLOOKUP(AI19,$A$2:$B$1048576,2,FALSE)="TE",AI19)</f>
        <v>#N/A</v>
      </c>
      <c r="AR19" t="e" cm="1">
        <f t="array" ref="AR19">_xlfn.IFS(IF(OR(AA19=AK19,AA19=AL19,AA19=AM19,AA19=AN19,AA19=AO19,AA19=AP19,AA19=AQ19,AA19=AS19),1,0)=0,AA19,IF(OR(AB19=AK19,AB19=AL19,AB19=AM19,AB19=AN19,AB19=AO19,AB19=AP19,AB19=AQ19,AB19=AS19),1,0)=0,AB19,IF(OR(AC19=AK19,AC19=AL19,AC19=AM19,AC19=AN19,AC19=AO19,AC19=AP19,AC19=AQ19,AC19=AS19),1,0)=0,AC19,IF(OR(AD19=AK19,AD19=AL19,AD19=AM19,AD19=AN19,AD19=AO19,AD19=AP19,AD19=AQ19,AD19=AS19),1,0)=0,AD19,IF(OR(AE19=AK19,AE19=AL19,AE19=AM19,AE19=AN19,AE19=AO19,AE19=AP19,AE19=AQ19,AE19=AS19),1,0)=0,AE19,IF(OR(AF19=AK19,AF19=AL19,AF19=AM19,AF19=AN19,AF19=AO19,AF19=AP19,AF19=AQ19,AF19=AS19),1,0)=0,AF19,IF(OR(AG19=AK19,AG19=AL19,AG19=AM19,AG19=AN19,AG19=AO19,AG19=AP19,AG19=AQ19,AG19=AS19),1,0)=0,AG19,IF(OR(AH19=AK19,AH19=AL19,AH19=AM19,AH19=AN19,AH19=AO19,AH19=AP19,AH19=AQ19,AH19=AS19),1,0)=0,AH19,IF(OR(AI19=AK19,AI19=AL19,AI19=AM19,AI19=AN19,AI19=AO19,AI19=AP19,AI19=AQ19,AI19=AS19),1,0)=0,AI19)</f>
        <v>#N/A</v>
      </c>
      <c r="AS19" t="e" cm="1">
        <f t="array" ref="AS19">_xlfn.IFS(VLOOKUP(AA19,$A$2:$B$1048576,2,FALSE)="DST",AA19,VLOOKUP(AB19,$A$2:$B$1048576,2,FALSE)="DST",AB19,VLOOKUP(AC19,$A$2:$B$1048576,2,FALSE)="DST",AC19,VLOOKUP(AD19,$A$2:$B$1048576,2,FALSE)="DST",AD19,VLOOKUP(AE19,$A$2:$B$1048576,2,FALSE)="DST",AE19,VLOOKUP(AF19,$A$2:$B$1048576,2,FALSE)="DST",AF19,VLOOKUP(AG19,$A$2:$B$1048576,2,FALSE)="DST",AG19,VLOOKUP(AH19,$A$2:$B$1048576,2,FALSE)="DST",AH19,VLOOKUP(AI19,$A$2:$B$1048576,2,FALSE)="DST",AI19)</f>
        <v>#N/A</v>
      </c>
    </row>
    <row r="20" spans="1:45" x14ac:dyDescent="0.35">
      <c r="A20" t="s">
        <v>43</v>
      </c>
      <c r="B20" s="11" t="s">
        <v>9</v>
      </c>
      <c r="C20" s="11">
        <v>6700</v>
      </c>
      <c r="D20" s="12">
        <v>14.900033888888887</v>
      </c>
      <c r="E20" s="12">
        <v>15.139857191321282</v>
      </c>
      <c r="F20" s="12">
        <v>32.517248023636839</v>
      </c>
      <c r="H20" s="11">
        <v>0</v>
      </c>
      <c r="I20">
        <f>IF(B20="QB",H20*1,0)</f>
        <v>0</v>
      </c>
      <c r="J20">
        <f>IF(B20="RB",H20*1,0)</f>
        <v>0</v>
      </c>
      <c r="K20">
        <f>IF(B20="WR",H20*1,0)</f>
        <v>0</v>
      </c>
      <c r="L20">
        <f>IF(B20="TE",H20*1,0)</f>
        <v>0</v>
      </c>
      <c r="M20">
        <f>IF(B20="DST",H20*1,0)</f>
        <v>0</v>
      </c>
      <c r="O20" s="11"/>
      <c r="X20" s="11">
        <f t="shared" si="0"/>
        <v>1</v>
      </c>
      <c r="Y20" s="9">
        <v>19</v>
      </c>
      <c r="Z20" s="12">
        <f t="shared" si="1"/>
        <v>0</v>
      </c>
      <c r="AK20" t="e" cm="1">
        <f t="array" ref="AK20">_xlfn.IFS(VLOOKUP(AA20,$A$2:$B$1048576,2,FALSE)="QB",AA20,VLOOKUP(AB20,$A$2:$B$1048576,2,FALSE)="QB",AB20,VLOOKUP(AC20,$A$2:$B$1048576,2,FALSE)="QB",AC20,VLOOKUP(AD20,$A$2:$B$1048576,2,FALSE)="QB",AD20,VLOOKUP(AE20,$A$2:$B$1048576,2,FALSE)="QB",AE20,VLOOKUP(AF20,$A$2:$B$1048576,2,FALSE)="QB",AF20,VLOOKUP(AG20,$A$2:$B$1048576,2,FALSE)="QB",AG20,VLOOKUP(AH20,$A$2:$B$1048576,2,FALSE)="QB",AH20,VLOOKUP(AI20,$A$2:$B$1048576,2,FALSE)="QB",AI20)</f>
        <v>#N/A</v>
      </c>
      <c r="AL20" t="e" cm="1">
        <f t="array" ref="AL20">_xlfn.IFS(VLOOKUP(AA20,$A$2:$B$1048576,2,FALSE)="RB",AA20,VLOOKUP(AB20,$A$2:$B$1048576,2,FALSE)="RB",AB20,VLOOKUP(AC20,$A$2:$B$1048576,2,FALSE)="RB",AC20,VLOOKUP(AD20,$A$2:$B$1048576,2,FALSE)="RB",AD20,VLOOKUP(AE20,$A$2:$B$1048576,2,FALSE)="RB",AE20,VLOOKUP(AF20,$A$2:$B$1048576,2,FALSE)="RB",AF20,VLOOKUP(AG20,$A$2:$B$1048576,2,FALSE)="RB",AG20,VLOOKUP(AH20,$A$2:$B$1048576,2,FALSE)="RB",AH20,VLOOKUP(AI20,$A$2:$B$1048576,2,FALSE)="RB",AI20)</f>
        <v>#N/A</v>
      </c>
      <c r="AM20" t="e">
        <f t="shared" si="2"/>
        <v>#N/A</v>
      </c>
      <c r="AN20" t="e" cm="1">
        <f t="array" ref="AN20">_xlfn.IFS(VLOOKUP(AA20,$A$2:$B$1048576,2,FALSE)="WR",AA20,VLOOKUP(AB20,$A$2:$B$1048576,2,FALSE)="WR",AB20,VLOOKUP(AC20,$A$2:$B$1048576,2,FALSE)="WR",AC20,VLOOKUP(AD20,$A$2:$B$1048576,2,FALSE)="WR",AD20,VLOOKUP(AE20,$A$2:$B$1048576,2,FALSE)="WR",AE20,VLOOKUP(AF20,$A$2:$B$1048576,2,FALSE)="WR",AF20,VLOOKUP(AG20,$A$2:$B$1048576,2,FALSE)="WR",AG20,VLOOKUP(AH20,$A$2:$B$1048576,2,FALSE)="WR",AH20,VLOOKUP(AI20,$A$2:$B$1048576,2,FALSE)="WR",AI20)</f>
        <v>#N/A</v>
      </c>
      <c r="AO20" t="e">
        <f t="shared" si="3"/>
        <v>#N/A</v>
      </c>
      <c r="AP20" t="e">
        <f t="shared" si="4"/>
        <v>#N/A</v>
      </c>
      <c r="AQ20" t="e" cm="1">
        <f t="array" ref="AQ20">_xlfn.IFS(VLOOKUP(AA20,$A$2:$B$1048576,2,FALSE)="TE",AA20,VLOOKUP(AB20,$A$2:$B$1048576,2,FALSE)="TE",AB20,VLOOKUP(AC20,$A$2:$B$1048576,2,FALSE)="TE",AC20,VLOOKUP(AD20,$A$2:$B$1048576,2,FALSE)="TE",AD20,VLOOKUP(AE20,$A$2:$B$1048576,2,FALSE)="TE",AE20,VLOOKUP(AF20,$A$2:$B$1048576,2,FALSE)="TE",AF20,VLOOKUP(AG20,$A$2:$B$1048576,2,FALSE)="TE",AG20,VLOOKUP(AH20,$A$2:$B$1048576,2,FALSE)="TE",AH20,VLOOKUP(AI20,$A$2:$B$1048576,2,FALSE)="TE",AI20)</f>
        <v>#N/A</v>
      </c>
      <c r="AR20" t="e" cm="1">
        <f t="array" ref="AR20">_xlfn.IFS(IF(OR(AA20=AK20,AA20=AL20,AA20=AM20,AA20=AN20,AA20=AO20,AA20=AP20,AA20=AQ20,AA20=AS20),1,0)=0,AA20,IF(OR(AB20=AK20,AB20=AL20,AB20=AM20,AB20=AN20,AB20=AO20,AB20=AP20,AB20=AQ20,AB20=AS20),1,0)=0,AB20,IF(OR(AC20=AK20,AC20=AL20,AC20=AM20,AC20=AN20,AC20=AO20,AC20=AP20,AC20=AQ20,AC20=AS20),1,0)=0,AC20,IF(OR(AD20=AK20,AD20=AL20,AD20=AM20,AD20=AN20,AD20=AO20,AD20=AP20,AD20=AQ20,AD20=AS20),1,0)=0,AD20,IF(OR(AE20=AK20,AE20=AL20,AE20=AM20,AE20=AN20,AE20=AO20,AE20=AP20,AE20=AQ20,AE20=AS20),1,0)=0,AE20,IF(OR(AF20=AK20,AF20=AL20,AF20=AM20,AF20=AN20,AF20=AO20,AF20=AP20,AF20=AQ20,AF20=AS20),1,0)=0,AF20,IF(OR(AG20=AK20,AG20=AL20,AG20=AM20,AG20=AN20,AG20=AO20,AG20=AP20,AG20=AQ20,AG20=AS20),1,0)=0,AG20,IF(OR(AH20=AK20,AH20=AL20,AH20=AM20,AH20=AN20,AH20=AO20,AH20=AP20,AH20=AQ20,AH20=AS20),1,0)=0,AH20,IF(OR(AI20=AK20,AI20=AL20,AI20=AM20,AI20=AN20,AI20=AO20,AI20=AP20,AI20=AQ20,AI20=AS20),1,0)=0,AI20)</f>
        <v>#N/A</v>
      </c>
      <c r="AS20" t="e" cm="1">
        <f t="array" ref="AS20">_xlfn.IFS(VLOOKUP(AA20,$A$2:$B$1048576,2,FALSE)="DST",AA20,VLOOKUP(AB20,$A$2:$B$1048576,2,FALSE)="DST",AB20,VLOOKUP(AC20,$A$2:$B$1048576,2,FALSE)="DST",AC20,VLOOKUP(AD20,$A$2:$B$1048576,2,FALSE)="DST",AD20,VLOOKUP(AE20,$A$2:$B$1048576,2,FALSE)="DST",AE20,VLOOKUP(AF20,$A$2:$B$1048576,2,FALSE)="DST",AF20,VLOOKUP(AG20,$A$2:$B$1048576,2,FALSE)="DST",AG20,VLOOKUP(AH20,$A$2:$B$1048576,2,FALSE)="DST",AH20,VLOOKUP(AI20,$A$2:$B$1048576,2,FALSE)="DST",AI20)</f>
        <v>#N/A</v>
      </c>
    </row>
    <row r="21" spans="1:45" x14ac:dyDescent="0.35">
      <c r="A21" t="s">
        <v>44</v>
      </c>
      <c r="B21" s="11" t="s">
        <v>9</v>
      </c>
      <c r="C21" s="11">
        <v>6000</v>
      </c>
      <c r="D21" s="12">
        <v>14.860075555555554</v>
      </c>
      <c r="E21" s="12">
        <v>15.339337015864839</v>
      </c>
      <c r="F21" s="12">
        <v>32.470810838546257</v>
      </c>
      <c r="H21" s="11">
        <v>0</v>
      </c>
      <c r="I21">
        <f>IF(B21="QB",H21*1,0)</f>
        <v>0</v>
      </c>
      <c r="J21">
        <f>IF(B21="RB",H21*1,0)</f>
        <v>0</v>
      </c>
      <c r="K21">
        <f>IF(B21="WR",H21*1,0)</f>
        <v>0</v>
      </c>
      <c r="L21">
        <f>IF(B21="TE",H21*1,0)</f>
        <v>0</v>
      </c>
      <c r="M21">
        <f>IF(B21="DST",H21*1,0)</f>
        <v>0</v>
      </c>
      <c r="O21" s="11"/>
      <c r="X21" s="11">
        <f t="shared" si="0"/>
        <v>1</v>
      </c>
      <c r="Y21" s="9">
        <v>20</v>
      </c>
      <c r="Z21" s="12">
        <f t="shared" si="1"/>
        <v>0</v>
      </c>
      <c r="AK21" t="e" cm="1">
        <f t="array" ref="AK21">_xlfn.IFS(VLOOKUP(AA21,$A$2:$B$1048576,2,FALSE)="QB",AA21,VLOOKUP(AB21,$A$2:$B$1048576,2,FALSE)="QB",AB21,VLOOKUP(AC21,$A$2:$B$1048576,2,FALSE)="QB",AC21,VLOOKUP(AD21,$A$2:$B$1048576,2,FALSE)="QB",AD21,VLOOKUP(AE21,$A$2:$B$1048576,2,FALSE)="QB",AE21,VLOOKUP(AF21,$A$2:$B$1048576,2,FALSE)="QB",AF21,VLOOKUP(AG21,$A$2:$B$1048576,2,FALSE)="QB",AG21,VLOOKUP(AH21,$A$2:$B$1048576,2,FALSE)="QB",AH21,VLOOKUP(AI21,$A$2:$B$1048576,2,FALSE)="QB",AI21)</f>
        <v>#N/A</v>
      </c>
      <c r="AL21" t="e" cm="1">
        <f t="array" ref="AL21">_xlfn.IFS(VLOOKUP(AA21,$A$2:$B$1048576,2,FALSE)="RB",AA21,VLOOKUP(AB21,$A$2:$B$1048576,2,FALSE)="RB",AB21,VLOOKUP(AC21,$A$2:$B$1048576,2,FALSE)="RB",AC21,VLOOKUP(AD21,$A$2:$B$1048576,2,FALSE)="RB",AD21,VLOOKUP(AE21,$A$2:$B$1048576,2,FALSE)="RB",AE21,VLOOKUP(AF21,$A$2:$B$1048576,2,FALSE)="RB",AF21,VLOOKUP(AG21,$A$2:$B$1048576,2,FALSE)="RB",AG21,VLOOKUP(AH21,$A$2:$B$1048576,2,FALSE)="RB",AH21,VLOOKUP(AI21,$A$2:$B$1048576,2,FALSE)="RB",AI21)</f>
        <v>#N/A</v>
      </c>
      <c r="AM21" t="e">
        <f t="shared" si="2"/>
        <v>#N/A</v>
      </c>
      <c r="AN21" t="e" cm="1">
        <f t="array" ref="AN21">_xlfn.IFS(VLOOKUP(AA21,$A$2:$B$1048576,2,FALSE)="WR",AA21,VLOOKUP(AB21,$A$2:$B$1048576,2,FALSE)="WR",AB21,VLOOKUP(AC21,$A$2:$B$1048576,2,FALSE)="WR",AC21,VLOOKUP(AD21,$A$2:$B$1048576,2,FALSE)="WR",AD21,VLOOKUP(AE21,$A$2:$B$1048576,2,FALSE)="WR",AE21,VLOOKUP(AF21,$A$2:$B$1048576,2,FALSE)="WR",AF21,VLOOKUP(AG21,$A$2:$B$1048576,2,FALSE)="WR",AG21,VLOOKUP(AH21,$A$2:$B$1048576,2,FALSE)="WR",AH21,VLOOKUP(AI21,$A$2:$B$1048576,2,FALSE)="WR",AI21)</f>
        <v>#N/A</v>
      </c>
      <c r="AO21" t="e">
        <f t="shared" si="3"/>
        <v>#N/A</v>
      </c>
      <c r="AP21" t="e">
        <f t="shared" si="4"/>
        <v>#N/A</v>
      </c>
      <c r="AQ21" t="e" cm="1">
        <f t="array" ref="AQ21">_xlfn.IFS(VLOOKUP(AA21,$A$2:$B$1048576,2,FALSE)="TE",AA21,VLOOKUP(AB21,$A$2:$B$1048576,2,FALSE)="TE",AB21,VLOOKUP(AC21,$A$2:$B$1048576,2,FALSE)="TE",AC21,VLOOKUP(AD21,$A$2:$B$1048576,2,FALSE)="TE",AD21,VLOOKUP(AE21,$A$2:$B$1048576,2,FALSE)="TE",AE21,VLOOKUP(AF21,$A$2:$B$1048576,2,FALSE)="TE",AF21,VLOOKUP(AG21,$A$2:$B$1048576,2,FALSE)="TE",AG21,VLOOKUP(AH21,$A$2:$B$1048576,2,FALSE)="TE",AH21,VLOOKUP(AI21,$A$2:$B$1048576,2,FALSE)="TE",AI21)</f>
        <v>#N/A</v>
      </c>
      <c r="AR21" t="e" cm="1">
        <f t="array" ref="AR21">_xlfn.IFS(IF(OR(AA21=AK21,AA21=AL21,AA21=AM21,AA21=AN21,AA21=AO21,AA21=AP21,AA21=AQ21,AA21=AS21),1,0)=0,AA21,IF(OR(AB21=AK21,AB21=AL21,AB21=AM21,AB21=AN21,AB21=AO21,AB21=AP21,AB21=AQ21,AB21=AS21),1,0)=0,AB21,IF(OR(AC21=AK21,AC21=AL21,AC21=AM21,AC21=AN21,AC21=AO21,AC21=AP21,AC21=AQ21,AC21=AS21),1,0)=0,AC21,IF(OR(AD21=AK21,AD21=AL21,AD21=AM21,AD21=AN21,AD21=AO21,AD21=AP21,AD21=AQ21,AD21=AS21),1,0)=0,AD21,IF(OR(AE21=AK21,AE21=AL21,AE21=AM21,AE21=AN21,AE21=AO21,AE21=AP21,AE21=AQ21,AE21=AS21),1,0)=0,AE21,IF(OR(AF21=AK21,AF21=AL21,AF21=AM21,AF21=AN21,AF21=AO21,AF21=AP21,AF21=AQ21,AF21=AS21),1,0)=0,AF21,IF(OR(AG21=AK21,AG21=AL21,AG21=AM21,AG21=AN21,AG21=AO21,AG21=AP21,AG21=AQ21,AG21=AS21),1,0)=0,AG21,IF(OR(AH21=AK21,AH21=AL21,AH21=AM21,AH21=AN21,AH21=AO21,AH21=AP21,AH21=AQ21,AH21=AS21),1,0)=0,AH21,IF(OR(AI21=AK21,AI21=AL21,AI21=AM21,AI21=AN21,AI21=AO21,AI21=AP21,AI21=AQ21,AI21=AS21),1,0)=0,AI21)</f>
        <v>#N/A</v>
      </c>
      <c r="AS21" t="e" cm="1">
        <f t="array" ref="AS21">_xlfn.IFS(VLOOKUP(AA21,$A$2:$B$1048576,2,FALSE)="DST",AA21,VLOOKUP(AB21,$A$2:$B$1048576,2,FALSE)="DST",AB21,VLOOKUP(AC21,$A$2:$B$1048576,2,FALSE)="DST",AC21,VLOOKUP(AD21,$A$2:$B$1048576,2,FALSE)="DST",AD21,VLOOKUP(AE21,$A$2:$B$1048576,2,FALSE)="DST",AE21,VLOOKUP(AF21,$A$2:$B$1048576,2,FALSE)="DST",AF21,VLOOKUP(AG21,$A$2:$B$1048576,2,FALSE)="DST",AG21,VLOOKUP(AH21,$A$2:$B$1048576,2,FALSE)="DST",AH21,VLOOKUP(AI21,$A$2:$B$1048576,2,FALSE)="DST",AI21)</f>
        <v>#N/A</v>
      </c>
    </row>
    <row r="22" spans="1:45" x14ac:dyDescent="0.35">
      <c r="A22" t="s">
        <v>45</v>
      </c>
      <c r="B22" s="11" t="s">
        <v>9</v>
      </c>
      <c r="C22" s="11">
        <v>6800</v>
      </c>
      <c r="D22" s="12">
        <v>14.614283888888888</v>
      </c>
      <c r="E22" s="12">
        <v>14.996131736287877</v>
      </c>
      <c r="F22" s="12">
        <v>31.644321341970134</v>
      </c>
      <c r="H22" s="11">
        <v>0</v>
      </c>
      <c r="I22">
        <f>IF(B22="QB",H22*1,0)</f>
        <v>0</v>
      </c>
      <c r="J22">
        <f>IF(B22="RB",H22*1,0)</f>
        <v>0</v>
      </c>
      <c r="K22">
        <f>IF(B22="WR",H22*1,0)</f>
        <v>0</v>
      </c>
      <c r="L22">
        <f>IF(B22="TE",H22*1,0)</f>
        <v>0</v>
      </c>
      <c r="M22">
        <f>IF(B22="DST",H22*1,0)</f>
        <v>0</v>
      </c>
      <c r="O22" s="11"/>
      <c r="X22" s="11">
        <f t="shared" si="0"/>
        <v>1</v>
      </c>
      <c r="Y22" s="9">
        <v>21</v>
      </c>
      <c r="Z22" s="12">
        <f t="shared" si="1"/>
        <v>0</v>
      </c>
      <c r="AK22" t="e" cm="1">
        <f t="array" ref="AK22">_xlfn.IFS(VLOOKUP(AA22,$A$2:$B$1048576,2,FALSE)="QB",AA22,VLOOKUP(AB22,$A$2:$B$1048576,2,FALSE)="QB",AB22,VLOOKUP(AC22,$A$2:$B$1048576,2,FALSE)="QB",AC22,VLOOKUP(AD22,$A$2:$B$1048576,2,FALSE)="QB",AD22,VLOOKUP(AE22,$A$2:$B$1048576,2,FALSE)="QB",AE22,VLOOKUP(AF22,$A$2:$B$1048576,2,FALSE)="QB",AF22,VLOOKUP(AG22,$A$2:$B$1048576,2,FALSE)="QB",AG22,VLOOKUP(AH22,$A$2:$B$1048576,2,FALSE)="QB",AH22,VLOOKUP(AI22,$A$2:$B$1048576,2,FALSE)="QB",AI22)</f>
        <v>#N/A</v>
      </c>
      <c r="AL22" t="e" cm="1">
        <f t="array" ref="AL22">_xlfn.IFS(VLOOKUP(AA22,$A$2:$B$1048576,2,FALSE)="RB",AA22,VLOOKUP(AB22,$A$2:$B$1048576,2,FALSE)="RB",AB22,VLOOKUP(AC22,$A$2:$B$1048576,2,FALSE)="RB",AC22,VLOOKUP(AD22,$A$2:$B$1048576,2,FALSE)="RB",AD22,VLOOKUP(AE22,$A$2:$B$1048576,2,FALSE)="RB",AE22,VLOOKUP(AF22,$A$2:$B$1048576,2,FALSE)="RB",AF22,VLOOKUP(AG22,$A$2:$B$1048576,2,FALSE)="RB",AG22,VLOOKUP(AH22,$A$2:$B$1048576,2,FALSE)="RB",AH22,VLOOKUP(AI22,$A$2:$B$1048576,2,FALSE)="RB",AI22)</f>
        <v>#N/A</v>
      </c>
      <c r="AM22" t="e">
        <f t="shared" si="2"/>
        <v>#N/A</v>
      </c>
      <c r="AN22" t="e" cm="1">
        <f t="array" ref="AN22">_xlfn.IFS(VLOOKUP(AA22,$A$2:$B$1048576,2,FALSE)="WR",AA22,VLOOKUP(AB22,$A$2:$B$1048576,2,FALSE)="WR",AB22,VLOOKUP(AC22,$A$2:$B$1048576,2,FALSE)="WR",AC22,VLOOKUP(AD22,$A$2:$B$1048576,2,FALSE)="WR",AD22,VLOOKUP(AE22,$A$2:$B$1048576,2,FALSE)="WR",AE22,VLOOKUP(AF22,$A$2:$B$1048576,2,FALSE)="WR",AF22,VLOOKUP(AG22,$A$2:$B$1048576,2,FALSE)="WR",AG22,VLOOKUP(AH22,$A$2:$B$1048576,2,FALSE)="WR",AH22,VLOOKUP(AI22,$A$2:$B$1048576,2,FALSE)="WR",AI22)</f>
        <v>#N/A</v>
      </c>
      <c r="AO22" t="e">
        <f t="shared" si="3"/>
        <v>#N/A</v>
      </c>
      <c r="AP22" t="e">
        <f t="shared" si="4"/>
        <v>#N/A</v>
      </c>
      <c r="AQ22" t="e" cm="1">
        <f t="array" ref="AQ22">_xlfn.IFS(VLOOKUP(AA22,$A$2:$B$1048576,2,FALSE)="TE",AA22,VLOOKUP(AB22,$A$2:$B$1048576,2,FALSE)="TE",AB22,VLOOKUP(AC22,$A$2:$B$1048576,2,FALSE)="TE",AC22,VLOOKUP(AD22,$A$2:$B$1048576,2,FALSE)="TE",AD22,VLOOKUP(AE22,$A$2:$B$1048576,2,FALSE)="TE",AE22,VLOOKUP(AF22,$A$2:$B$1048576,2,FALSE)="TE",AF22,VLOOKUP(AG22,$A$2:$B$1048576,2,FALSE)="TE",AG22,VLOOKUP(AH22,$A$2:$B$1048576,2,FALSE)="TE",AH22,VLOOKUP(AI22,$A$2:$B$1048576,2,FALSE)="TE",AI22)</f>
        <v>#N/A</v>
      </c>
      <c r="AR22" t="e" cm="1">
        <f t="array" ref="AR22">_xlfn.IFS(IF(OR(AA22=AK22,AA22=AL22,AA22=AM22,AA22=AN22,AA22=AO22,AA22=AP22,AA22=AQ22,AA22=AS22),1,0)=0,AA22,IF(OR(AB22=AK22,AB22=AL22,AB22=AM22,AB22=AN22,AB22=AO22,AB22=AP22,AB22=AQ22,AB22=AS22),1,0)=0,AB22,IF(OR(AC22=AK22,AC22=AL22,AC22=AM22,AC22=AN22,AC22=AO22,AC22=AP22,AC22=AQ22,AC22=AS22),1,0)=0,AC22,IF(OR(AD22=AK22,AD22=AL22,AD22=AM22,AD22=AN22,AD22=AO22,AD22=AP22,AD22=AQ22,AD22=AS22),1,0)=0,AD22,IF(OR(AE22=AK22,AE22=AL22,AE22=AM22,AE22=AN22,AE22=AO22,AE22=AP22,AE22=AQ22,AE22=AS22),1,0)=0,AE22,IF(OR(AF22=AK22,AF22=AL22,AF22=AM22,AF22=AN22,AF22=AO22,AF22=AP22,AF22=AQ22,AF22=AS22),1,0)=0,AF22,IF(OR(AG22=AK22,AG22=AL22,AG22=AM22,AG22=AN22,AG22=AO22,AG22=AP22,AG22=AQ22,AG22=AS22),1,0)=0,AG22,IF(OR(AH22=AK22,AH22=AL22,AH22=AM22,AH22=AN22,AH22=AO22,AH22=AP22,AH22=AQ22,AH22=AS22),1,0)=0,AH22,IF(OR(AI22=AK22,AI22=AL22,AI22=AM22,AI22=AN22,AI22=AO22,AI22=AP22,AI22=AQ22,AI22=AS22),1,0)=0,AI22)</f>
        <v>#N/A</v>
      </c>
      <c r="AS22" t="e" cm="1">
        <f t="array" ref="AS22">_xlfn.IFS(VLOOKUP(AA22,$A$2:$B$1048576,2,FALSE)="DST",AA22,VLOOKUP(AB22,$A$2:$B$1048576,2,FALSE)="DST",AB22,VLOOKUP(AC22,$A$2:$B$1048576,2,FALSE)="DST",AC22,VLOOKUP(AD22,$A$2:$B$1048576,2,FALSE)="DST",AD22,VLOOKUP(AE22,$A$2:$B$1048576,2,FALSE)="DST",AE22,VLOOKUP(AF22,$A$2:$B$1048576,2,FALSE)="DST",AF22,VLOOKUP(AG22,$A$2:$B$1048576,2,FALSE)="DST",AG22,VLOOKUP(AH22,$A$2:$B$1048576,2,FALSE)="DST",AH22,VLOOKUP(AI22,$A$2:$B$1048576,2,FALSE)="DST",AI22)</f>
        <v>#N/A</v>
      </c>
    </row>
    <row r="23" spans="1:45" x14ac:dyDescent="0.35">
      <c r="A23" t="s">
        <v>46</v>
      </c>
      <c r="B23" s="11" t="s">
        <v>9</v>
      </c>
      <c r="C23" s="11">
        <v>6100</v>
      </c>
      <c r="D23" s="12">
        <v>14.657172777777777</v>
      </c>
      <c r="E23" s="12">
        <v>15.181847233833873</v>
      </c>
      <c r="F23" s="12">
        <v>31.843548982754299</v>
      </c>
      <c r="H23" s="11">
        <v>0</v>
      </c>
      <c r="I23">
        <f>IF(B23="QB",H23*1,0)</f>
        <v>0</v>
      </c>
      <c r="J23">
        <f>IF(B23="RB",H23*1,0)</f>
        <v>0</v>
      </c>
      <c r="K23">
        <f>IF(B23="WR",H23*1,0)</f>
        <v>0</v>
      </c>
      <c r="L23">
        <f>IF(B23="TE",H23*1,0)</f>
        <v>0</v>
      </c>
      <c r="M23">
        <f>IF(B23="DST",H23*1,0)</f>
        <v>0</v>
      </c>
      <c r="O23" s="11"/>
      <c r="X23" s="11">
        <f t="shared" si="0"/>
        <v>1</v>
      </c>
      <c r="Y23" s="9">
        <v>22</v>
      </c>
      <c r="Z23" s="12">
        <f t="shared" si="1"/>
        <v>0</v>
      </c>
      <c r="AK23" t="e" cm="1">
        <f t="array" ref="AK23">_xlfn.IFS(VLOOKUP(AA23,$A$2:$B$1048576,2,FALSE)="QB",AA23,VLOOKUP(AB23,$A$2:$B$1048576,2,FALSE)="QB",AB23,VLOOKUP(AC23,$A$2:$B$1048576,2,FALSE)="QB",AC23,VLOOKUP(AD23,$A$2:$B$1048576,2,FALSE)="QB",AD23,VLOOKUP(AE23,$A$2:$B$1048576,2,FALSE)="QB",AE23,VLOOKUP(AF23,$A$2:$B$1048576,2,FALSE)="QB",AF23,VLOOKUP(AG23,$A$2:$B$1048576,2,FALSE)="QB",AG23,VLOOKUP(AH23,$A$2:$B$1048576,2,FALSE)="QB",AH23,VLOOKUP(AI23,$A$2:$B$1048576,2,FALSE)="QB",AI23)</f>
        <v>#N/A</v>
      </c>
      <c r="AL23" t="e" cm="1">
        <f t="array" ref="AL23">_xlfn.IFS(VLOOKUP(AA23,$A$2:$B$1048576,2,FALSE)="RB",AA23,VLOOKUP(AB23,$A$2:$B$1048576,2,FALSE)="RB",AB23,VLOOKUP(AC23,$A$2:$B$1048576,2,FALSE)="RB",AC23,VLOOKUP(AD23,$A$2:$B$1048576,2,FALSE)="RB",AD23,VLOOKUP(AE23,$A$2:$B$1048576,2,FALSE)="RB",AE23,VLOOKUP(AF23,$A$2:$B$1048576,2,FALSE)="RB",AF23,VLOOKUP(AG23,$A$2:$B$1048576,2,FALSE)="RB",AG23,VLOOKUP(AH23,$A$2:$B$1048576,2,FALSE)="RB",AH23,VLOOKUP(AI23,$A$2:$B$1048576,2,FALSE)="RB",AI23)</f>
        <v>#N/A</v>
      </c>
      <c r="AM23" t="e">
        <f t="shared" si="2"/>
        <v>#N/A</v>
      </c>
      <c r="AN23" t="e" cm="1">
        <f t="array" ref="AN23">_xlfn.IFS(VLOOKUP(AA23,$A$2:$B$1048576,2,FALSE)="WR",AA23,VLOOKUP(AB23,$A$2:$B$1048576,2,FALSE)="WR",AB23,VLOOKUP(AC23,$A$2:$B$1048576,2,FALSE)="WR",AC23,VLOOKUP(AD23,$A$2:$B$1048576,2,FALSE)="WR",AD23,VLOOKUP(AE23,$A$2:$B$1048576,2,FALSE)="WR",AE23,VLOOKUP(AF23,$A$2:$B$1048576,2,FALSE)="WR",AF23,VLOOKUP(AG23,$A$2:$B$1048576,2,FALSE)="WR",AG23,VLOOKUP(AH23,$A$2:$B$1048576,2,FALSE)="WR",AH23,VLOOKUP(AI23,$A$2:$B$1048576,2,FALSE)="WR",AI23)</f>
        <v>#N/A</v>
      </c>
      <c r="AO23" t="e">
        <f t="shared" si="3"/>
        <v>#N/A</v>
      </c>
      <c r="AP23" t="e">
        <f t="shared" si="4"/>
        <v>#N/A</v>
      </c>
      <c r="AQ23" t="e" cm="1">
        <f t="array" ref="AQ23">_xlfn.IFS(VLOOKUP(AA23,$A$2:$B$1048576,2,FALSE)="TE",AA23,VLOOKUP(AB23,$A$2:$B$1048576,2,FALSE)="TE",AB23,VLOOKUP(AC23,$A$2:$B$1048576,2,FALSE)="TE",AC23,VLOOKUP(AD23,$A$2:$B$1048576,2,FALSE)="TE",AD23,VLOOKUP(AE23,$A$2:$B$1048576,2,FALSE)="TE",AE23,VLOOKUP(AF23,$A$2:$B$1048576,2,FALSE)="TE",AF23,VLOOKUP(AG23,$A$2:$B$1048576,2,FALSE)="TE",AG23,VLOOKUP(AH23,$A$2:$B$1048576,2,FALSE)="TE",AH23,VLOOKUP(AI23,$A$2:$B$1048576,2,FALSE)="TE",AI23)</f>
        <v>#N/A</v>
      </c>
      <c r="AR23" t="e" cm="1">
        <f t="array" ref="AR23">_xlfn.IFS(IF(OR(AA23=AK23,AA23=AL23,AA23=AM23,AA23=AN23,AA23=AO23,AA23=AP23,AA23=AQ23,AA23=AS23),1,0)=0,AA23,IF(OR(AB23=AK23,AB23=AL23,AB23=AM23,AB23=AN23,AB23=AO23,AB23=AP23,AB23=AQ23,AB23=AS23),1,0)=0,AB23,IF(OR(AC23=AK23,AC23=AL23,AC23=AM23,AC23=AN23,AC23=AO23,AC23=AP23,AC23=AQ23,AC23=AS23),1,0)=0,AC23,IF(OR(AD23=AK23,AD23=AL23,AD23=AM23,AD23=AN23,AD23=AO23,AD23=AP23,AD23=AQ23,AD23=AS23),1,0)=0,AD23,IF(OR(AE23=AK23,AE23=AL23,AE23=AM23,AE23=AN23,AE23=AO23,AE23=AP23,AE23=AQ23,AE23=AS23),1,0)=0,AE23,IF(OR(AF23=AK23,AF23=AL23,AF23=AM23,AF23=AN23,AF23=AO23,AF23=AP23,AF23=AQ23,AF23=AS23),1,0)=0,AF23,IF(OR(AG23=AK23,AG23=AL23,AG23=AM23,AG23=AN23,AG23=AO23,AG23=AP23,AG23=AQ23,AG23=AS23),1,0)=0,AG23,IF(OR(AH23=AK23,AH23=AL23,AH23=AM23,AH23=AN23,AH23=AO23,AH23=AP23,AH23=AQ23,AH23=AS23),1,0)=0,AH23,IF(OR(AI23=AK23,AI23=AL23,AI23=AM23,AI23=AN23,AI23=AO23,AI23=AP23,AI23=AQ23,AI23=AS23),1,0)=0,AI23)</f>
        <v>#N/A</v>
      </c>
      <c r="AS23" t="e" cm="1">
        <f t="array" ref="AS23">_xlfn.IFS(VLOOKUP(AA23,$A$2:$B$1048576,2,FALSE)="DST",AA23,VLOOKUP(AB23,$A$2:$B$1048576,2,FALSE)="DST",AB23,VLOOKUP(AC23,$A$2:$B$1048576,2,FALSE)="DST",AC23,VLOOKUP(AD23,$A$2:$B$1048576,2,FALSE)="DST",AD23,VLOOKUP(AE23,$A$2:$B$1048576,2,FALSE)="DST",AE23,VLOOKUP(AF23,$A$2:$B$1048576,2,FALSE)="DST",AF23,VLOOKUP(AG23,$A$2:$B$1048576,2,FALSE)="DST",AG23,VLOOKUP(AH23,$A$2:$B$1048576,2,FALSE)="DST",AH23,VLOOKUP(AI23,$A$2:$B$1048576,2,FALSE)="DST",AI23)</f>
        <v>#N/A</v>
      </c>
    </row>
    <row r="24" spans="1:45" x14ac:dyDescent="0.35">
      <c r="A24" t="s">
        <v>47</v>
      </c>
      <c r="B24" s="11" t="s">
        <v>9</v>
      </c>
      <c r="C24" s="11">
        <v>5800</v>
      </c>
      <c r="D24" s="12">
        <v>14.505117222222221</v>
      </c>
      <c r="E24" s="12">
        <v>14.815234991654158</v>
      </c>
      <c r="F24" s="12">
        <v>31.416584625615876</v>
      </c>
      <c r="H24" s="11">
        <v>0</v>
      </c>
      <c r="I24">
        <f>IF(B24="QB",H24*1,0)</f>
        <v>0</v>
      </c>
      <c r="J24">
        <f>IF(B24="RB",H24*1,0)</f>
        <v>0</v>
      </c>
      <c r="K24">
        <f>IF(B24="WR",H24*1,0)</f>
        <v>0</v>
      </c>
      <c r="L24">
        <f>IF(B24="TE",H24*1,0)</f>
        <v>0</v>
      </c>
      <c r="M24">
        <f>IF(B24="DST",H24*1,0)</f>
        <v>0</v>
      </c>
      <c r="O24" s="11"/>
      <c r="X24" s="11">
        <f t="shared" si="0"/>
        <v>1</v>
      </c>
      <c r="Y24" s="9">
        <v>23</v>
      </c>
      <c r="Z24" s="12">
        <f t="shared" si="1"/>
        <v>0</v>
      </c>
      <c r="AK24" t="e" cm="1">
        <f t="array" ref="AK24">_xlfn.IFS(VLOOKUP(AA24,$A$2:$B$1048576,2,FALSE)="QB",AA24,VLOOKUP(AB24,$A$2:$B$1048576,2,FALSE)="QB",AB24,VLOOKUP(AC24,$A$2:$B$1048576,2,FALSE)="QB",AC24,VLOOKUP(AD24,$A$2:$B$1048576,2,FALSE)="QB",AD24,VLOOKUP(AE24,$A$2:$B$1048576,2,FALSE)="QB",AE24,VLOOKUP(AF24,$A$2:$B$1048576,2,FALSE)="QB",AF24,VLOOKUP(AG24,$A$2:$B$1048576,2,FALSE)="QB",AG24,VLOOKUP(AH24,$A$2:$B$1048576,2,FALSE)="QB",AH24,VLOOKUP(AI24,$A$2:$B$1048576,2,FALSE)="QB",AI24)</f>
        <v>#N/A</v>
      </c>
      <c r="AL24" t="e" cm="1">
        <f t="array" ref="AL24">_xlfn.IFS(VLOOKUP(AA24,$A$2:$B$1048576,2,FALSE)="RB",AA24,VLOOKUP(AB24,$A$2:$B$1048576,2,FALSE)="RB",AB24,VLOOKUP(AC24,$A$2:$B$1048576,2,FALSE)="RB",AC24,VLOOKUP(AD24,$A$2:$B$1048576,2,FALSE)="RB",AD24,VLOOKUP(AE24,$A$2:$B$1048576,2,FALSE)="RB",AE24,VLOOKUP(AF24,$A$2:$B$1048576,2,FALSE)="RB",AF24,VLOOKUP(AG24,$A$2:$B$1048576,2,FALSE)="RB",AG24,VLOOKUP(AH24,$A$2:$B$1048576,2,FALSE)="RB",AH24,VLOOKUP(AI24,$A$2:$B$1048576,2,FALSE)="RB",AI24)</f>
        <v>#N/A</v>
      </c>
      <c r="AM24" t="e">
        <f t="shared" si="2"/>
        <v>#N/A</v>
      </c>
      <c r="AN24" t="e" cm="1">
        <f t="array" ref="AN24">_xlfn.IFS(VLOOKUP(AA24,$A$2:$B$1048576,2,FALSE)="WR",AA24,VLOOKUP(AB24,$A$2:$B$1048576,2,FALSE)="WR",AB24,VLOOKUP(AC24,$A$2:$B$1048576,2,FALSE)="WR",AC24,VLOOKUP(AD24,$A$2:$B$1048576,2,FALSE)="WR",AD24,VLOOKUP(AE24,$A$2:$B$1048576,2,FALSE)="WR",AE24,VLOOKUP(AF24,$A$2:$B$1048576,2,FALSE)="WR",AF24,VLOOKUP(AG24,$A$2:$B$1048576,2,FALSE)="WR",AG24,VLOOKUP(AH24,$A$2:$B$1048576,2,FALSE)="WR",AH24,VLOOKUP(AI24,$A$2:$B$1048576,2,FALSE)="WR",AI24)</f>
        <v>#N/A</v>
      </c>
      <c r="AO24" t="e">
        <f t="shared" si="3"/>
        <v>#N/A</v>
      </c>
      <c r="AP24" t="e">
        <f t="shared" si="4"/>
        <v>#N/A</v>
      </c>
      <c r="AQ24" t="e" cm="1">
        <f t="array" ref="AQ24">_xlfn.IFS(VLOOKUP(AA24,$A$2:$B$1048576,2,FALSE)="TE",AA24,VLOOKUP(AB24,$A$2:$B$1048576,2,FALSE)="TE",AB24,VLOOKUP(AC24,$A$2:$B$1048576,2,FALSE)="TE",AC24,VLOOKUP(AD24,$A$2:$B$1048576,2,FALSE)="TE",AD24,VLOOKUP(AE24,$A$2:$B$1048576,2,FALSE)="TE",AE24,VLOOKUP(AF24,$A$2:$B$1048576,2,FALSE)="TE",AF24,VLOOKUP(AG24,$A$2:$B$1048576,2,FALSE)="TE",AG24,VLOOKUP(AH24,$A$2:$B$1048576,2,FALSE)="TE",AH24,VLOOKUP(AI24,$A$2:$B$1048576,2,FALSE)="TE",AI24)</f>
        <v>#N/A</v>
      </c>
      <c r="AR24" t="e" cm="1">
        <f t="array" ref="AR24">_xlfn.IFS(IF(OR(AA24=AK24,AA24=AL24,AA24=AM24,AA24=AN24,AA24=AO24,AA24=AP24,AA24=AQ24,AA24=AS24),1,0)=0,AA24,IF(OR(AB24=AK24,AB24=AL24,AB24=AM24,AB24=AN24,AB24=AO24,AB24=AP24,AB24=AQ24,AB24=AS24),1,0)=0,AB24,IF(OR(AC24=AK24,AC24=AL24,AC24=AM24,AC24=AN24,AC24=AO24,AC24=AP24,AC24=AQ24,AC24=AS24),1,0)=0,AC24,IF(OR(AD24=AK24,AD24=AL24,AD24=AM24,AD24=AN24,AD24=AO24,AD24=AP24,AD24=AQ24,AD24=AS24),1,0)=0,AD24,IF(OR(AE24=AK24,AE24=AL24,AE24=AM24,AE24=AN24,AE24=AO24,AE24=AP24,AE24=AQ24,AE24=AS24),1,0)=0,AE24,IF(OR(AF24=AK24,AF24=AL24,AF24=AM24,AF24=AN24,AF24=AO24,AF24=AP24,AF24=AQ24,AF24=AS24),1,0)=0,AF24,IF(OR(AG24=AK24,AG24=AL24,AG24=AM24,AG24=AN24,AG24=AO24,AG24=AP24,AG24=AQ24,AG24=AS24),1,0)=0,AG24,IF(OR(AH24=AK24,AH24=AL24,AH24=AM24,AH24=AN24,AH24=AO24,AH24=AP24,AH24=AQ24,AH24=AS24),1,0)=0,AH24,IF(OR(AI24=AK24,AI24=AL24,AI24=AM24,AI24=AN24,AI24=AO24,AI24=AP24,AI24=AQ24,AI24=AS24),1,0)=0,AI24)</f>
        <v>#N/A</v>
      </c>
      <c r="AS24" t="e" cm="1">
        <f t="array" ref="AS24">_xlfn.IFS(VLOOKUP(AA24,$A$2:$B$1048576,2,FALSE)="DST",AA24,VLOOKUP(AB24,$A$2:$B$1048576,2,FALSE)="DST",AB24,VLOOKUP(AC24,$A$2:$B$1048576,2,FALSE)="DST",AC24,VLOOKUP(AD24,$A$2:$B$1048576,2,FALSE)="DST",AD24,VLOOKUP(AE24,$A$2:$B$1048576,2,FALSE)="DST",AE24,VLOOKUP(AF24,$A$2:$B$1048576,2,FALSE)="DST",AF24,VLOOKUP(AG24,$A$2:$B$1048576,2,FALSE)="DST",AG24,VLOOKUP(AH24,$A$2:$B$1048576,2,FALSE)="DST",AH24,VLOOKUP(AI24,$A$2:$B$1048576,2,FALSE)="DST",AI24)</f>
        <v>#N/A</v>
      </c>
    </row>
    <row r="25" spans="1:45" x14ac:dyDescent="0.35">
      <c r="A25" t="s">
        <v>48</v>
      </c>
      <c r="B25" s="11" t="s">
        <v>9</v>
      </c>
      <c r="C25" s="11">
        <v>6500</v>
      </c>
      <c r="D25" s="12">
        <v>14.107228333333332</v>
      </c>
      <c r="E25" s="12">
        <v>14.381574572465146</v>
      </c>
      <c r="F25" s="12">
        <v>30.139252028039493</v>
      </c>
      <c r="H25" s="11">
        <v>0</v>
      </c>
      <c r="I25">
        <f>IF(B25="QB",H25*1,0)</f>
        <v>0</v>
      </c>
      <c r="J25">
        <f>IF(B25="RB",H25*1,0)</f>
        <v>0</v>
      </c>
      <c r="K25">
        <f>IF(B25="WR",H25*1,0)</f>
        <v>0</v>
      </c>
      <c r="L25">
        <f>IF(B25="TE",H25*1,0)</f>
        <v>0</v>
      </c>
      <c r="M25">
        <f>IF(B25="DST",H25*1,0)</f>
        <v>0</v>
      </c>
      <c r="X25" s="11">
        <f t="shared" si="0"/>
        <v>1</v>
      </c>
      <c r="Y25" s="9">
        <v>24</v>
      </c>
      <c r="Z25" s="12">
        <f t="shared" si="1"/>
        <v>0</v>
      </c>
      <c r="AK25" t="e" cm="1">
        <f t="array" ref="AK25">_xlfn.IFS(VLOOKUP(AA25,$A$2:$B$1048576,2,FALSE)="QB",AA25,VLOOKUP(AB25,$A$2:$B$1048576,2,FALSE)="QB",AB25,VLOOKUP(AC25,$A$2:$B$1048576,2,FALSE)="QB",AC25,VLOOKUP(AD25,$A$2:$B$1048576,2,FALSE)="QB",AD25,VLOOKUP(AE25,$A$2:$B$1048576,2,FALSE)="QB",AE25,VLOOKUP(AF25,$A$2:$B$1048576,2,FALSE)="QB",AF25,VLOOKUP(AG25,$A$2:$B$1048576,2,FALSE)="QB",AG25,VLOOKUP(AH25,$A$2:$B$1048576,2,FALSE)="QB",AH25,VLOOKUP(AI25,$A$2:$B$1048576,2,FALSE)="QB",AI25)</f>
        <v>#N/A</v>
      </c>
      <c r="AL25" t="e" cm="1">
        <f t="array" ref="AL25">_xlfn.IFS(VLOOKUP(AA25,$A$2:$B$1048576,2,FALSE)="RB",AA25,VLOOKUP(AB25,$A$2:$B$1048576,2,FALSE)="RB",AB25,VLOOKUP(AC25,$A$2:$B$1048576,2,FALSE)="RB",AC25,VLOOKUP(AD25,$A$2:$B$1048576,2,FALSE)="RB",AD25,VLOOKUP(AE25,$A$2:$B$1048576,2,FALSE)="RB",AE25,VLOOKUP(AF25,$A$2:$B$1048576,2,FALSE)="RB",AF25,VLOOKUP(AG25,$A$2:$B$1048576,2,FALSE)="RB",AG25,VLOOKUP(AH25,$A$2:$B$1048576,2,FALSE)="RB",AH25,VLOOKUP(AI25,$A$2:$B$1048576,2,FALSE)="RB",AI25)</f>
        <v>#N/A</v>
      </c>
      <c r="AM25" t="e">
        <f t="shared" si="2"/>
        <v>#N/A</v>
      </c>
      <c r="AN25" t="e" cm="1">
        <f t="array" ref="AN25">_xlfn.IFS(VLOOKUP(AA25,$A$2:$B$1048576,2,FALSE)="WR",AA25,VLOOKUP(AB25,$A$2:$B$1048576,2,FALSE)="WR",AB25,VLOOKUP(AC25,$A$2:$B$1048576,2,FALSE)="WR",AC25,VLOOKUP(AD25,$A$2:$B$1048576,2,FALSE)="WR",AD25,VLOOKUP(AE25,$A$2:$B$1048576,2,FALSE)="WR",AE25,VLOOKUP(AF25,$A$2:$B$1048576,2,FALSE)="WR",AF25,VLOOKUP(AG25,$A$2:$B$1048576,2,FALSE)="WR",AG25,VLOOKUP(AH25,$A$2:$B$1048576,2,FALSE)="WR",AH25,VLOOKUP(AI25,$A$2:$B$1048576,2,FALSE)="WR",AI25)</f>
        <v>#N/A</v>
      </c>
      <c r="AO25" t="e">
        <f t="shared" si="3"/>
        <v>#N/A</v>
      </c>
      <c r="AP25" t="e">
        <f t="shared" si="4"/>
        <v>#N/A</v>
      </c>
      <c r="AQ25" t="e" cm="1">
        <f t="array" ref="AQ25">_xlfn.IFS(VLOOKUP(AA25,$A$2:$B$1048576,2,FALSE)="TE",AA25,VLOOKUP(AB25,$A$2:$B$1048576,2,FALSE)="TE",AB25,VLOOKUP(AC25,$A$2:$B$1048576,2,FALSE)="TE",AC25,VLOOKUP(AD25,$A$2:$B$1048576,2,FALSE)="TE",AD25,VLOOKUP(AE25,$A$2:$B$1048576,2,FALSE)="TE",AE25,VLOOKUP(AF25,$A$2:$B$1048576,2,FALSE)="TE",AF25,VLOOKUP(AG25,$A$2:$B$1048576,2,FALSE)="TE",AG25,VLOOKUP(AH25,$A$2:$B$1048576,2,FALSE)="TE",AH25,VLOOKUP(AI25,$A$2:$B$1048576,2,FALSE)="TE",AI25)</f>
        <v>#N/A</v>
      </c>
      <c r="AR25" t="e" cm="1">
        <f t="array" ref="AR25">_xlfn.IFS(IF(OR(AA25=AK25,AA25=AL25,AA25=AM25,AA25=AN25,AA25=AO25,AA25=AP25,AA25=AQ25,AA25=AS25),1,0)=0,AA25,IF(OR(AB25=AK25,AB25=AL25,AB25=AM25,AB25=AN25,AB25=AO25,AB25=AP25,AB25=AQ25,AB25=AS25),1,0)=0,AB25,IF(OR(AC25=AK25,AC25=AL25,AC25=AM25,AC25=AN25,AC25=AO25,AC25=AP25,AC25=AQ25,AC25=AS25),1,0)=0,AC25,IF(OR(AD25=AK25,AD25=AL25,AD25=AM25,AD25=AN25,AD25=AO25,AD25=AP25,AD25=AQ25,AD25=AS25),1,0)=0,AD25,IF(OR(AE25=AK25,AE25=AL25,AE25=AM25,AE25=AN25,AE25=AO25,AE25=AP25,AE25=AQ25,AE25=AS25),1,0)=0,AE25,IF(OR(AF25=AK25,AF25=AL25,AF25=AM25,AF25=AN25,AF25=AO25,AF25=AP25,AF25=AQ25,AF25=AS25),1,0)=0,AF25,IF(OR(AG25=AK25,AG25=AL25,AG25=AM25,AG25=AN25,AG25=AO25,AG25=AP25,AG25=AQ25,AG25=AS25),1,0)=0,AG25,IF(OR(AH25=AK25,AH25=AL25,AH25=AM25,AH25=AN25,AH25=AO25,AH25=AP25,AH25=AQ25,AH25=AS25),1,0)=0,AH25,IF(OR(AI25=AK25,AI25=AL25,AI25=AM25,AI25=AN25,AI25=AO25,AI25=AP25,AI25=AQ25,AI25=AS25),1,0)=0,AI25)</f>
        <v>#N/A</v>
      </c>
      <c r="AS25" t="e" cm="1">
        <f t="array" ref="AS25">_xlfn.IFS(VLOOKUP(AA25,$A$2:$B$1048576,2,FALSE)="DST",AA25,VLOOKUP(AB25,$A$2:$B$1048576,2,FALSE)="DST",AB25,VLOOKUP(AC25,$A$2:$B$1048576,2,FALSE)="DST",AC25,VLOOKUP(AD25,$A$2:$B$1048576,2,FALSE)="DST",AD25,VLOOKUP(AE25,$A$2:$B$1048576,2,FALSE)="DST",AE25,VLOOKUP(AF25,$A$2:$B$1048576,2,FALSE)="DST",AF25,VLOOKUP(AG25,$A$2:$B$1048576,2,FALSE)="DST",AG25,VLOOKUP(AH25,$A$2:$B$1048576,2,FALSE)="DST",AH25,VLOOKUP(AI25,$A$2:$B$1048576,2,FALSE)="DST",AI25)</f>
        <v>#N/A</v>
      </c>
    </row>
    <row r="26" spans="1:45" x14ac:dyDescent="0.35">
      <c r="A26" t="s">
        <v>49</v>
      </c>
      <c r="B26" s="11" t="s">
        <v>9</v>
      </c>
      <c r="C26" s="11">
        <v>5700</v>
      </c>
      <c r="D26" s="12">
        <v>14.021144999999997</v>
      </c>
      <c r="E26" s="12">
        <v>14.605115833229801</v>
      </c>
      <c r="F26" s="12">
        <v>29.958900602907278</v>
      </c>
      <c r="H26" s="11">
        <v>0</v>
      </c>
      <c r="I26">
        <f>IF(B26="QB",H26*1,0)</f>
        <v>0</v>
      </c>
      <c r="J26">
        <f>IF(B26="RB",H26*1,0)</f>
        <v>0</v>
      </c>
      <c r="K26">
        <f>IF(B26="WR",H26*1,0)</f>
        <v>0</v>
      </c>
      <c r="L26">
        <f>IF(B26="TE",H26*1,0)</f>
        <v>0</v>
      </c>
      <c r="M26">
        <f>IF(B26="DST",H26*1,0)</f>
        <v>0</v>
      </c>
      <c r="X26" s="11">
        <f t="shared" si="0"/>
        <v>1</v>
      </c>
      <c r="Y26" s="9">
        <v>25</v>
      </c>
      <c r="Z26" s="12">
        <f t="shared" si="1"/>
        <v>0</v>
      </c>
      <c r="AK26" t="e" cm="1">
        <f t="array" ref="AK26">_xlfn.IFS(VLOOKUP(AA26,$A$2:$B$1048576,2,FALSE)="QB",AA26,VLOOKUP(AB26,$A$2:$B$1048576,2,FALSE)="QB",AB26,VLOOKUP(AC26,$A$2:$B$1048576,2,FALSE)="QB",AC26,VLOOKUP(AD26,$A$2:$B$1048576,2,FALSE)="QB",AD26,VLOOKUP(AE26,$A$2:$B$1048576,2,FALSE)="QB",AE26,VLOOKUP(AF26,$A$2:$B$1048576,2,FALSE)="QB",AF26,VLOOKUP(AG26,$A$2:$B$1048576,2,FALSE)="QB",AG26,VLOOKUP(AH26,$A$2:$B$1048576,2,FALSE)="QB",AH26,VLOOKUP(AI26,$A$2:$B$1048576,2,FALSE)="QB",AI26)</f>
        <v>#N/A</v>
      </c>
      <c r="AL26" t="e" cm="1">
        <f t="array" ref="AL26">_xlfn.IFS(VLOOKUP(AA26,$A$2:$B$1048576,2,FALSE)="RB",AA26,VLOOKUP(AB26,$A$2:$B$1048576,2,FALSE)="RB",AB26,VLOOKUP(AC26,$A$2:$B$1048576,2,FALSE)="RB",AC26,VLOOKUP(AD26,$A$2:$B$1048576,2,FALSE)="RB",AD26,VLOOKUP(AE26,$A$2:$B$1048576,2,FALSE)="RB",AE26,VLOOKUP(AF26,$A$2:$B$1048576,2,FALSE)="RB",AF26,VLOOKUP(AG26,$A$2:$B$1048576,2,FALSE)="RB",AG26,VLOOKUP(AH26,$A$2:$B$1048576,2,FALSE)="RB",AH26,VLOOKUP(AI26,$A$2:$B$1048576,2,FALSE)="RB",AI26)</f>
        <v>#N/A</v>
      </c>
      <c r="AM26" t="e">
        <f t="shared" si="2"/>
        <v>#N/A</v>
      </c>
      <c r="AN26" t="e" cm="1">
        <f t="array" ref="AN26">_xlfn.IFS(VLOOKUP(AA26,$A$2:$B$1048576,2,FALSE)="WR",AA26,VLOOKUP(AB26,$A$2:$B$1048576,2,FALSE)="WR",AB26,VLOOKUP(AC26,$A$2:$B$1048576,2,FALSE)="WR",AC26,VLOOKUP(AD26,$A$2:$B$1048576,2,FALSE)="WR",AD26,VLOOKUP(AE26,$A$2:$B$1048576,2,FALSE)="WR",AE26,VLOOKUP(AF26,$A$2:$B$1048576,2,FALSE)="WR",AF26,VLOOKUP(AG26,$A$2:$B$1048576,2,FALSE)="WR",AG26,VLOOKUP(AH26,$A$2:$B$1048576,2,FALSE)="WR",AH26,VLOOKUP(AI26,$A$2:$B$1048576,2,FALSE)="WR",AI26)</f>
        <v>#N/A</v>
      </c>
      <c r="AO26" t="e">
        <f t="shared" si="3"/>
        <v>#N/A</v>
      </c>
      <c r="AP26" t="e">
        <f t="shared" si="4"/>
        <v>#N/A</v>
      </c>
      <c r="AQ26" t="e" cm="1">
        <f t="array" ref="AQ26">_xlfn.IFS(VLOOKUP(AA26,$A$2:$B$1048576,2,FALSE)="TE",AA26,VLOOKUP(AB26,$A$2:$B$1048576,2,FALSE)="TE",AB26,VLOOKUP(AC26,$A$2:$B$1048576,2,FALSE)="TE",AC26,VLOOKUP(AD26,$A$2:$B$1048576,2,FALSE)="TE",AD26,VLOOKUP(AE26,$A$2:$B$1048576,2,FALSE)="TE",AE26,VLOOKUP(AF26,$A$2:$B$1048576,2,FALSE)="TE",AF26,VLOOKUP(AG26,$A$2:$B$1048576,2,FALSE)="TE",AG26,VLOOKUP(AH26,$A$2:$B$1048576,2,FALSE)="TE",AH26,VLOOKUP(AI26,$A$2:$B$1048576,2,FALSE)="TE",AI26)</f>
        <v>#N/A</v>
      </c>
      <c r="AR26" t="e" cm="1">
        <f t="array" ref="AR26">_xlfn.IFS(IF(OR(AA26=AK26,AA26=AL26,AA26=AM26,AA26=AN26,AA26=AO26,AA26=AP26,AA26=AQ26,AA26=AS26),1,0)=0,AA26,IF(OR(AB26=AK26,AB26=AL26,AB26=AM26,AB26=AN26,AB26=AO26,AB26=AP26,AB26=AQ26,AB26=AS26),1,0)=0,AB26,IF(OR(AC26=AK26,AC26=AL26,AC26=AM26,AC26=AN26,AC26=AO26,AC26=AP26,AC26=AQ26,AC26=AS26),1,0)=0,AC26,IF(OR(AD26=AK26,AD26=AL26,AD26=AM26,AD26=AN26,AD26=AO26,AD26=AP26,AD26=AQ26,AD26=AS26),1,0)=0,AD26,IF(OR(AE26=AK26,AE26=AL26,AE26=AM26,AE26=AN26,AE26=AO26,AE26=AP26,AE26=AQ26,AE26=AS26),1,0)=0,AE26,IF(OR(AF26=AK26,AF26=AL26,AF26=AM26,AF26=AN26,AF26=AO26,AF26=AP26,AF26=AQ26,AF26=AS26),1,0)=0,AF26,IF(OR(AG26=AK26,AG26=AL26,AG26=AM26,AG26=AN26,AG26=AO26,AG26=AP26,AG26=AQ26,AG26=AS26),1,0)=0,AG26,IF(OR(AH26=AK26,AH26=AL26,AH26=AM26,AH26=AN26,AH26=AO26,AH26=AP26,AH26=AQ26,AH26=AS26),1,0)=0,AH26,IF(OR(AI26=AK26,AI26=AL26,AI26=AM26,AI26=AN26,AI26=AO26,AI26=AP26,AI26=AQ26,AI26=AS26),1,0)=0,AI26)</f>
        <v>#N/A</v>
      </c>
      <c r="AS26" t="e" cm="1">
        <f t="array" ref="AS26">_xlfn.IFS(VLOOKUP(AA26,$A$2:$B$1048576,2,FALSE)="DST",AA26,VLOOKUP(AB26,$A$2:$B$1048576,2,FALSE)="DST",AB26,VLOOKUP(AC26,$A$2:$B$1048576,2,FALSE)="DST",AC26,VLOOKUP(AD26,$A$2:$B$1048576,2,FALSE)="DST",AD26,VLOOKUP(AE26,$A$2:$B$1048576,2,FALSE)="DST",AE26,VLOOKUP(AF26,$A$2:$B$1048576,2,FALSE)="DST",AF26,VLOOKUP(AG26,$A$2:$B$1048576,2,FALSE)="DST",AG26,VLOOKUP(AH26,$A$2:$B$1048576,2,FALSE)="DST",AH26,VLOOKUP(AI26,$A$2:$B$1048576,2,FALSE)="DST",AI26)</f>
        <v>#N/A</v>
      </c>
    </row>
    <row r="27" spans="1:45" x14ac:dyDescent="0.35">
      <c r="A27" t="s">
        <v>50</v>
      </c>
      <c r="B27" s="11" t="s">
        <v>9</v>
      </c>
      <c r="C27" s="11">
        <v>5800</v>
      </c>
      <c r="D27" s="12">
        <v>14.042617222222219</v>
      </c>
      <c r="E27" s="12">
        <v>14.37838602955595</v>
      </c>
      <c r="F27" s="12">
        <v>30.012859201575719</v>
      </c>
      <c r="H27" s="11">
        <v>0</v>
      </c>
      <c r="I27">
        <f>IF(B27="QB",H27*1,0)</f>
        <v>0</v>
      </c>
      <c r="J27">
        <f>IF(B27="RB",H27*1,0)</f>
        <v>0</v>
      </c>
      <c r="K27">
        <f>IF(B27="WR",H27*1,0)</f>
        <v>0</v>
      </c>
      <c r="L27">
        <f>IF(B27="TE",H27*1,0)</f>
        <v>0</v>
      </c>
      <c r="M27">
        <f>IF(B27="DST",H27*1,0)</f>
        <v>0</v>
      </c>
      <c r="X27" s="11">
        <f t="shared" si="0"/>
        <v>1</v>
      </c>
      <c r="Y27" s="9">
        <v>26</v>
      </c>
      <c r="Z27" s="12">
        <f t="shared" si="1"/>
        <v>0</v>
      </c>
      <c r="AK27" t="e" cm="1">
        <f t="array" ref="AK27">_xlfn.IFS(VLOOKUP(AA27,$A$2:$B$1048576,2,FALSE)="QB",AA27,VLOOKUP(AB27,$A$2:$B$1048576,2,FALSE)="QB",AB27,VLOOKUP(AC27,$A$2:$B$1048576,2,FALSE)="QB",AC27,VLOOKUP(AD27,$A$2:$B$1048576,2,FALSE)="QB",AD27,VLOOKUP(AE27,$A$2:$B$1048576,2,FALSE)="QB",AE27,VLOOKUP(AF27,$A$2:$B$1048576,2,FALSE)="QB",AF27,VLOOKUP(AG27,$A$2:$B$1048576,2,FALSE)="QB",AG27,VLOOKUP(AH27,$A$2:$B$1048576,2,FALSE)="QB",AH27,VLOOKUP(AI27,$A$2:$B$1048576,2,FALSE)="QB",AI27)</f>
        <v>#N/A</v>
      </c>
      <c r="AL27" t="e" cm="1">
        <f t="array" ref="AL27">_xlfn.IFS(VLOOKUP(AA27,$A$2:$B$1048576,2,FALSE)="RB",AA27,VLOOKUP(AB27,$A$2:$B$1048576,2,FALSE)="RB",AB27,VLOOKUP(AC27,$A$2:$B$1048576,2,FALSE)="RB",AC27,VLOOKUP(AD27,$A$2:$B$1048576,2,FALSE)="RB",AD27,VLOOKUP(AE27,$A$2:$B$1048576,2,FALSE)="RB",AE27,VLOOKUP(AF27,$A$2:$B$1048576,2,FALSE)="RB",AF27,VLOOKUP(AG27,$A$2:$B$1048576,2,FALSE)="RB",AG27,VLOOKUP(AH27,$A$2:$B$1048576,2,FALSE)="RB",AH27,VLOOKUP(AI27,$A$2:$B$1048576,2,FALSE)="RB",AI27)</f>
        <v>#N/A</v>
      </c>
      <c r="AM27" t="e">
        <f t="shared" si="2"/>
        <v>#N/A</v>
      </c>
      <c r="AN27" t="e" cm="1">
        <f t="array" ref="AN27">_xlfn.IFS(VLOOKUP(AA27,$A$2:$B$1048576,2,FALSE)="WR",AA27,VLOOKUP(AB27,$A$2:$B$1048576,2,FALSE)="WR",AB27,VLOOKUP(AC27,$A$2:$B$1048576,2,FALSE)="WR",AC27,VLOOKUP(AD27,$A$2:$B$1048576,2,FALSE)="WR",AD27,VLOOKUP(AE27,$A$2:$B$1048576,2,FALSE)="WR",AE27,VLOOKUP(AF27,$A$2:$B$1048576,2,FALSE)="WR",AF27,VLOOKUP(AG27,$A$2:$B$1048576,2,FALSE)="WR",AG27,VLOOKUP(AH27,$A$2:$B$1048576,2,FALSE)="WR",AH27,VLOOKUP(AI27,$A$2:$B$1048576,2,FALSE)="WR",AI27)</f>
        <v>#N/A</v>
      </c>
      <c r="AO27" t="e">
        <f t="shared" si="3"/>
        <v>#N/A</v>
      </c>
      <c r="AP27" t="e">
        <f t="shared" si="4"/>
        <v>#N/A</v>
      </c>
      <c r="AQ27" t="e" cm="1">
        <f t="array" ref="AQ27">_xlfn.IFS(VLOOKUP(AA27,$A$2:$B$1048576,2,FALSE)="TE",AA27,VLOOKUP(AB27,$A$2:$B$1048576,2,FALSE)="TE",AB27,VLOOKUP(AC27,$A$2:$B$1048576,2,FALSE)="TE",AC27,VLOOKUP(AD27,$A$2:$B$1048576,2,FALSE)="TE",AD27,VLOOKUP(AE27,$A$2:$B$1048576,2,FALSE)="TE",AE27,VLOOKUP(AF27,$A$2:$B$1048576,2,FALSE)="TE",AF27,VLOOKUP(AG27,$A$2:$B$1048576,2,FALSE)="TE",AG27,VLOOKUP(AH27,$A$2:$B$1048576,2,FALSE)="TE",AH27,VLOOKUP(AI27,$A$2:$B$1048576,2,FALSE)="TE",AI27)</f>
        <v>#N/A</v>
      </c>
      <c r="AR27" t="e" cm="1">
        <f t="array" ref="AR27">_xlfn.IFS(IF(OR(AA27=AK27,AA27=AL27,AA27=AM27,AA27=AN27,AA27=AO27,AA27=AP27,AA27=AQ27,AA27=AS27),1,0)=0,AA27,IF(OR(AB27=AK27,AB27=AL27,AB27=AM27,AB27=AN27,AB27=AO27,AB27=AP27,AB27=AQ27,AB27=AS27),1,0)=0,AB27,IF(OR(AC27=AK27,AC27=AL27,AC27=AM27,AC27=AN27,AC27=AO27,AC27=AP27,AC27=AQ27,AC27=AS27),1,0)=0,AC27,IF(OR(AD27=AK27,AD27=AL27,AD27=AM27,AD27=AN27,AD27=AO27,AD27=AP27,AD27=AQ27,AD27=AS27),1,0)=0,AD27,IF(OR(AE27=AK27,AE27=AL27,AE27=AM27,AE27=AN27,AE27=AO27,AE27=AP27,AE27=AQ27,AE27=AS27),1,0)=0,AE27,IF(OR(AF27=AK27,AF27=AL27,AF27=AM27,AF27=AN27,AF27=AO27,AF27=AP27,AF27=AQ27,AF27=AS27),1,0)=0,AF27,IF(OR(AG27=AK27,AG27=AL27,AG27=AM27,AG27=AN27,AG27=AO27,AG27=AP27,AG27=AQ27,AG27=AS27),1,0)=0,AG27,IF(OR(AH27=AK27,AH27=AL27,AH27=AM27,AH27=AN27,AH27=AO27,AH27=AP27,AH27=AQ27,AH27=AS27),1,0)=0,AH27,IF(OR(AI27=AK27,AI27=AL27,AI27=AM27,AI27=AN27,AI27=AO27,AI27=AP27,AI27=AQ27,AI27=AS27),1,0)=0,AI27)</f>
        <v>#N/A</v>
      </c>
      <c r="AS27" t="e" cm="1">
        <f t="array" ref="AS27">_xlfn.IFS(VLOOKUP(AA27,$A$2:$B$1048576,2,FALSE)="DST",AA27,VLOOKUP(AB27,$A$2:$B$1048576,2,FALSE)="DST",AB27,VLOOKUP(AC27,$A$2:$B$1048576,2,FALSE)="DST",AC27,VLOOKUP(AD27,$A$2:$B$1048576,2,FALSE)="DST",AD27,VLOOKUP(AE27,$A$2:$B$1048576,2,FALSE)="DST",AE27,VLOOKUP(AF27,$A$2:$B$1048576,2,FALSE)="DST",AF27,VLOOKUP(AG27,$A$2:$B$1048576,2,FALSE)="DST",AG27,VLOOKUP(AH27,$A$2:$B$1048576,2,FALSE)="DST",AH27,VLOOKUP(AI27,$A$2:$B$1048576,2,FALSE)="DST",AI27)</f>
        <v>#N/A</v>
      </c>
    </row>
    <row r="28" spans="1:45" x14ac:dyDescent="0.35">
      <c r="A28" t="s">
        <v>51</v>
      </c>
      <c r="B28" s="11" t="s">
        <v>9</v>
      </c>
      <c r="C28" s="11">
        <v>6300</v>
      </c>
      <c r="D28" s="12">
        <v>13.988033888888888</v>
      </c>
      <c r="E28" s="12">
        <v>13.988033888888888</v>
      </c>
      <c r="F28" s="12">
        <v>29.797158669593792</v>
      </c>
      <c r="H28" s="11">
        <v>0</v>
      </c>
      <c r="I28">
        <f>IF(B28="QB",H28*1,0)</f>
        <v>0</v>
      </c>
      <c r="J28">
        <f>IF(B28="RB",H28*1,0)</f>
        <v>0</v>
      </c>
      <c r="K28">
        <f>IF(B28="WR",H28*1,0)</f>
        <v>0</v>
      </c>
      <c r="L28">
        <f>IF(B28="TE",H28*1,0)</f>
        <v>0</v>
      </c>
      <c r="M28">
        <f>IF(B28="DST",H28*1,0)</f>
        <v>0</v>
      </c>
      <c r="X28" s="11">
        <f t="shared" si="0"/>
        <v>1</v>
      </c>
      <c r="Y28" s="9">
        <v>27</v>
      </c>
      <c r="Z28" s="12">
        <f t="shared" si="1"/>
        <v>0</v>
      </c>
      <c r="AK28" t="e" cm="1">
        <f t="array" ref="AK28">_xlfn.IFS(VLOOKUP(AA28,$A$2:$B$1048576,2,FALSE)="QB",AA28,VLOOKUP(AB28,$A$2:$B$1048576,2,FALSE)="QB",AB28,VLOOKUP(AC28,$A$2:$B$1048576,2,FALSE)="QB",AC28,VLOOKUP(AD28,$A$2:$B$1048576,2,FALSE)="QB",AD28,VLOOKUP(AE28,$A$2:$B$1048576,2,FALSE)="QB",AE28,VLOOKUP(AF28,$A$2:$B$1048576,2,FALSE)="QB",AF28,VLOOKUP(AG28,$A$2:$B$1048576,2,FALSE)="QB",AG28,VLOOKUP(AH28,$A$2:$B$1048576,2,FALSE)="QB",AH28,VLOOKUP(AI28,$A$2:$B$1048576,2,FALSE)="QB",AI28)</f>
        <v>#N/A</v>
      </c>
      <c r="AL28" t="e" cm="1">
        <f t="array" ref="AL28">_xlfn.IFS(VLOOKUP(AA28,$A$2:$B$1048576,2,FALSE)="RB",AA28,VLOOKUP(AB28,$A$2:$B$1048576,2,FALSE)="RB",AB28,VLOOKUP(AC28,$A$2:$B$1048576,2,FALSE)="RB",AC28,VLOOKUP(AD28,$A$2:$B$1048576,2,FALSE)="RB",AD28,VLOOKUP(AE28,$A$2:$B$1048576,2,FALSE)="RB",AE28,VLOOKUP(AF28,$A$2:$B$1048576,2,FALSE)="RB",AF28,VLOOKUP(AG28,$A$2:$B$1048576,2,FALSE)="RB",AG28,VLOOKUP(AH28,$A$2:$B$1048576,2,FALSE)="RB",AH28,VLOOKUP(AI28,$A$2:$B$1048576,2,FALSE)="RB",AI28)</f>
        <v>#N/A</v>
      </c>
      <c r="AM28" t="e">
        <f t="shared" si="2"/>
        <v>#N/A</v>
      </c>
      <c r="AN28" t="e" cm="1">
        <f t="array" ref="AN28">_xlfn.IFS(VLOOKUP(AA28,$A$2:$B$1048576,2,FALSE)="WR",AA28,VLOOKUP(AB28,$A$2:$B$1048576,2,FALSE)="WR",AB28,VLOOKUP(AC28,$A$2:$B$1048576,2,FALSE)="WR",AC28,VLOOKUP(AD28,$A$2:$B$1048576,2,FALSE)="WR",AD28,VLOOKUP(AE28,$A$2:$B$1048576,2,FALSE)="WR",AE28,VLOOKUP(AF28,$A$2:$B$1048576,2,FALSE)="WR",AF28,VLOOKUP(AG28,$A$2:$B$1048576,2,FALSE)="WR",AG28,VLOOKUP(AH28,$A$2:$B$1048576,2,FALSE)="WR",AH28,VLOOKUP(AI28,$A$2:$B$1048576,2,FALSE)="WR",AI28)</f>
        <v>#N/A</v>
      </c>
      <c r="AO28" t="e">
        <f t="shared" si="3"/>
        <v>#N/A</v>
      </c>
      <c r="AP28" t="e">
        <f t="shared" si="4"/>
        <v>#N/A</v>
      </c>
      <c r="AQ28" t="e" cm="1">
        <f t="array" ref="AQ28">_xlfn.IFS(VLOOKUP(AA28,$A$2:$B$1048576,2,FALSE)="TE",AA28,VLOOKUP(AB28,$A$2:$B$1048576,2,FALSE)="TE",AB28,VLOOKUP(AC28,$A$2:$B$1048576,2,FALSE)="TE",AC28,VLOOKUP(AD28,$A$2:$B$1048576,2,FALSE)="TE",AD28,VLOOKUP(AE28,$A$2:$B$1048576,2,FALSE)="TE",AE28,VLOOKUP(AF28,$A$2:$B$1048576,2,FALSE)="TE",AF28,VLOOKUP(AG28,$A$2:$B$1048576,2,FALSE)="TE",AG28,VLOOKUP(AH28,$A$2:$B$1048576,2,FALSE)="TE",AH28,VLOOKUP(AI28,$A$2:$B$1048576,2,FALSE)="TE",AI28)</f>
        <v>#N/A</v>
      </c>
      <c r="AR28" t="e" cm="1">
        <f t="array" ref="AR28">_xlfn.IFS(IF(OR(AA28=AK28,AA28=AL28,AA28=AM28,AA28=AN28,AA28=AO28,AA28=AP28,AA28=AQ28,AA28=AS28),1,0)=0,AA28,IF(OR(AB28=AK28,AB28=AL28,AB28=AM28,AB28=AN28,AB28=AO28,AB28=AP28,AB28=AQ28,AB28=AS28),1,0)=0,AB28,IF(OR(AC28=AK28,AC28=AL28,AC28=AM28,AC28=AN28,AC28=AO28,AC28=AP28,AC28=AQ28,AC28=AS28),1,0)=0,AC28,IF(OR(AD28=AK28,AD28=AL28,AD28=AM28,AD28=AN28,AD28=AO28,AD28=AP28,AD28=AQ28,AD28=AS28),1,0)=0,AD28,IF(OR(AE28=AK28,AE28=AL28,AE28=AM28,AE28=AN28,AE28=AO28,AE28=AP28,AE28=AQ28,AE28=AS28),1,0)=0,AE28,IF(OR(AF28=AK28,AF28=AL28,AF28=AM28,AF28=AN28,AF28=AO28,AF28=AP28,AF28=AQ28,AF28=AS28),1,0)=0,AF28,IF(OR(AG28=AK28,AG28=AL28,AG28=AM28,AG28=AN28,AG28=AO28,AG28=AP28,AG28=AQ28,AG28=AS28),1,0)=0,AG28,IF(OR(AH28=AK28,AH28=AL28,AH28=AM28,AH28=AN28,AH28=AO28,AH28=AP28,AH28=AQ28,AH28=AS28),1,0)=0,AH28,IF(OR(AI28=AK28,AI28=AL28,AI28=AM28,AI28=AN28,AI28=AO28,AI28=AP28,AI28=AQ28,AI28=AS28),1,0)=0,AI28)</f>
        <v>#N/A</v>
      </c>
      <c r="AS28" t="e" cm="1">
        <f t="array" ref="AS28">_xlfn.IFS(VLOOKUP(AA28,$A$2:$B$1048576,2,FALSE)="DST",AA28,VLOOKUP(AB28,$A$2:$B$1048576,2,FALSE)="DST",AB28,VLOOKUP(AC28,$A$2:$B$1048576,2,FALSE)="DST",AC28,VLOOKUP(AD28,$A$2:$B$1048576,2,FALSE)="DST",AD28,VLOOKUP(AE28,$A$2:$B$1048576,2,FALSE)="DST",AE28,VLOOKUP(AF28,$A$2:$B$1048576,2,FALSE)="DST",AF28,VLOOKUP(AG28,$A$2:$B$1048576,2,FALSE)="DST",AG28,VLOOKUP(AH28,$A$2:$B$1048576,2,FALSE)="DST",AH28,VLOOKUP(AI28,$A$2:$B$1048576,2,FALSE)="DST",AI28)</f>
        <v>#N/A</v>
      </c>
    </row>
    <row r="29" spans="1:45" x14ac:dyDescent="0.35">
      <c r="A29" t="s">
        <v>52</v>
      </c>
      <c r="B29" s="11" t="s">
        <v>9</v>
      </c>
      <c r="C29" s="11">
        <v>5600</v>
      </c>
      <c r="D29" s="12">
        <v>13.489394999999998</v>
      </c>
      <c r="E29" s="12">
        <v>14.070994667373174</v>
      </c>
      <c r="F29" s="12">
        <v>28.35717709617721</v>
      </c>
      <c r="H29" s="11">
        <v>0</v>
      </c>
      <c r="I29">
        <f>IF(B29="QB",H29*1,0)</f>
        <v>0</v>
      </c>
      <c r="J29">
        <f>IF(B29="RB",H29*1,0)</f>
        <v>0</v>
      </c>
      <c r="K29">
        <f>IF(B29="WR",H29*1,0)</f>
        <v>0</v>
      </c>
      <c r="L29">
        <f>IF(B29="TE",H29*1,0)</f>
        <v>0</v>
      </c>
      <c r="M29">
        <f>IF(B29="DST",H29*1,0)</f>
        <v>0</v>
      </c>
      <c r="X29" s="11">
        <f t="shared" si="0"/>
        <v>1</v>
      </c>
      <c r="Y29" s="9">
        <v>28</v>
      </c>
      <c r="Z29" s="12">
        <f t="shared" si="1"/>
        <v>0</v>
      </c>
      <c r="AK29" t="e" cm="1">
        <f t="array" ref="AK29">_xlfn.IFS(VLOOKUP(AA29,$A$2:$B$1048576,2,FALSE)="QB",AA29,VLOOKUP(AB29,$A$2:$B$1048576,2,FALSE)="QB",AB29,VLOOKUP(AC29,$A$2:$B$1048576,2,FALSE)="QB",AC29,VLOOKUP(AD29,$A$2:$B$1048576,2,FALSE)="QB",AD29,VLOOKUP(AE29,$A$2:$B$1048576,2,FALSE)="QB",AE29,VLOOKUP(AF29,$A$2:$B$1048576,2,FALSE)="QB",AF29,VLOOKUP(AG29,$A$2:$B$1048576,2,FALSE)="QB",AG29,VLOOKUP(AH29,$A$2:$B$1048576,2,FALSE)="QB",AH29,VLOOKUP(AI29,$A$2:$B$1048576,2,FALSE)="QB",AI29)</f>
        <v>#N/A</v>
      </c>
      <c r="AL29" t="e" cm="1">
        <f t="array" ref="AL29">_xlfn.IFS(VLOOKUP(AA29,$A$2:$B$1048576,2,FALSE)="RB",AA29,VLOOKUP(AB29,$A$2:$B$1048576,2,FALSE)="RB",AB29,VLOOKUP(AC29,$A$2:$B$1048576,2,FALSE)="RB",AC29,VLOOKUP(AD29,$A$2:$B$1048576,2,FALSE)="RB",AD29,VLOOKUP(AE29,$A$2:$B$1048576,2,FALSE)="RB",AE29,VLOOKUP(AF29,$A$2:$B$1048576,2,FALSE)="RB",AF29,VLOOKUP(AG29,$A$2:$B$1048576,2,FALSE)="RB",AG29,VLOOKUP(AH29,$A$2:$B$1048576,2,FALSE)="RB",AH29,VLOOKUP(AI29,$A$2:$B$1048576,2,FALSE)="RB",AI29)</f>
        <v>#N/A</v>
      </c>
      <c r="AM29" t="e">
        <f t="shared" si="2"/>
        <v>#N/A</v>
      </c>
      <c r="AN29" t="e" cm="1">
        <f t="array" ref="AN29">_xlfn.IFS(VLOOKUP(AA29,$A$2:$B$1048576,2,FALSE)="WR",AA29,VLOOKUP(AB29,$A$2:$B$1048576,2,FALSE)="WR",AB29,VLOOKUP(AC29,$A$2:$B$1048576,2,FALSE)="WR",AC29,VLOOKUP(AD29,$A$2:$B$1048576,2,FALSE)="WR",AD29,VLOOKUP(AE29,$A$2:$B$1048576,2,FALSE)="WR",AE29,VLOOKUP(AF29,$A$2:$B$1048576,2,FALSE)="WR",AF29,VLOOKUP(AG29,$A$2:$B$1048576,2,FALSE)="WR",AG29,VLOOKUP(AH29,$A$2:$B$1048576,2,FALSE)="WR",AH29,VLOOKUP(AI29,$A$2:$B$1048576,2,FALSE)="WR",AI29)</f>
        <v>#N/A</v>
      </c>
      <c r="AO29" t="e">
        <f t="shared" si="3"/>
        <v>#N/A</v>
      </c>
      <c r="AP29" t="e">
        <f t="shared" si="4"/>
        <v>#N/A</v>
      </c>
      <c r="AQ29" t="e" cm="1">
        <f t="array" ref="AQ29">_xlfn.IFS(VLOOKUP(AA29,$A$2:$B$1048576,2,FALSE)="TE",AA29,VLOOKUP(AB29,$A$2:$B$1048576,2,FALSE)="TE",AB29,VLOOKUP(AC29,$A$2:$B$1048576,2,FALSE)="TE",AC29,VLOOKUP(AD29,$A$2:$B$1048576,2,FALSE)="TE",AD29,VLOOKUP(AE29,$A$2:$B$1048576,2,FALSE)="TE",AE29,VLOOKUP(AF29,$A$2:$B$1048576,2,FALSE)="TE",AF29,VLOOKUP(AG29,$A$2:$B$1048576,2,FALSE)="TE",AG29,VLOOKUP(AH29,$A$2:$B$1048576,2,FALSE)="TE",AH29,VLOOKUP(AI29,$A$2:$B$1048576,2,FALSE)="TE",AI29)</f>
        <v>#N/A</v>
      </c>
      <c r="AR29" t="e" cm="1">
        <f t="array" ref="AR29">_xlfn.IFS(IF(OR(AA29=AK29,AA29=AL29,AA29=AM29,AA29=AN29,AA29=AO29,AA29=AP29,AA29=AQ29,AA29=AS29),1,0)=0,AA29,IF(OR(AB29=AK29,AB29=AL29,AB29=AM29,AB29=AN29,AB29=AO29,AB29=AP29,AB29=AQ29,AB29=AS29),1,0)=0,AB29,IF(OR(AC29=AK29,AC29=AL29,AC29=AM29,AC29=AN29,AC29=AO29,AC29=AP29,AC29=AQ29,AC29=AS29),1,0)=0,AC29,IF(OR(AD29=AK29,AD29=AL29,AD29=AM29,AD29=AN29,AD29=AO29,AD29=AP29,AD29=AQ29,AD29=AS29),1,0)=0,AD29,IF(OR(AE29=AK29,AE29=AL29,AE29=AM29,AE29=AN29,AE29=AO29,AE29=AP29,AE29=AQ29,AE29=AS29),1,0)=0,AE29,IF(OR(AF29=AK29,AF29=AL29,AF29=AM29,AF29=AN29,AF29=AO29,AF29=AP29,AF29=AQ29,AF29=AS29),1,0)=0,AF29,IF(OR(AG29=AK29,AG29=AL29,AG29=AM29,AG29=AN29,AG29=AO29,AG29=AP29,AG29=AQ29,AG29=AS29),1,0)=0,AG29,IF(OR(AH29=AK29,AH29=AL29,AH29=AM29,AH29=AN29,AH29=AO29,AH29=AP29,AH29=AQ29,AH29=AS29),1,0)=0,AH29,IF(OR(AI29=AK29,AI29=AL29,AI29=AM29,AI29=AN29,AI29=AO29,AI29=AP29,AI29=AQ29,AI29=AS29),1,0)=0,AI29)</f>
        <v>#N/A</v>
      </c>
      <c r="AS29" t="e" cm="1">
        <f t="array" ref="AS29">_xlfn.IFS(VLOOKUP(AA29,$A$2:$B$1048576,2,FALSE)="DST",AA29,VLOOKUP(AB29,$A$2:$B$1048576,2,FALSE)="DST",AB29,VLOOKUP(AC29,$A$2:$B$1048576,2,FALSE)="DST",AC29,VLOOKUP(AD29,$A$2:$B$1048576,2,FALSE)="DST",AD29,VLOOKUP(AE29,$A$2:$B$1048576,2,FALSE)="DST",AE29,VLOOKUP(AF29,$A$2:$B$1048576,2,FALSE)="DST",AF29,VLOOKUP(AG29,$A$2:$B$1048576,2,FALSE)="DST",AG29,VLOOKUP(AH29,$A$2:$B$1048576,2,FALSE)="DST",AH29,VLOOKUP(AI29,$A$2:$B$1048576,2,FALSE)="DST",AI29)</f>
        <v>#N/A</v>
      </c>
    </row>
    <row r="30" spans="1:45" x14ac:dyDescent="0.35">
      <c r="A30" t="s">
        <v>53</v>
      </c>
      <c r="B30" s="11" t="s">
        <v>9</v>
      </c>
      <c r="C30" s="11">
        <v>6100</v>
      </c>
      <c r="D30" s="12">
        <v>12.925783888888887</v>
      </c>
      <c r="E30" s="12">
        <v>13.557394603714236</v>
      </c>
      <c r="F30" s="12">
        <v>26.606711744153177</v>
      </c>
      <c r="H30" s="11">
        <v>0</v>
      </c>
      <c r="I30">
        <f>IF(B30="QB",H30*1,0)</f>
        <v>0</v>
      </c>
      <c r="J30">
        <f>IF(B30="RB",H30*1,0)</f>
        <v>0</v>
      </c>
      <c r="K30">
        <f>IF(B30="WR",H30*1,0)</f>
        <v>0</v>
      </c>
      <c r="L30">
        <f>IF(B30="TE",H30*1,0)</f>
        <v>0</v>
      </c>
      <c r="M30">
        <f>IF(B30="DST",H30*1,0)</f>
        <v>0</v>
      </c>
      <c r="X30" s="11">
        <f t="shared" si="0"/>
        <v>1</v>
      </c>
      <c r="Y30" s="9">
        <v>29</v>
      </c>
      <c r="Z30" s="12">
        <f t="shared" si="1"/>
        <v>0</v>
      </c>
      <c r="AK30" t="e" cm="1">
        <f t="array" ref="AK30">_xlfn.IFS(VLOOKUP(AA30,$A$2:$B$1048576,2,FALSE)="QB",AA30,VLOOKUP(AB30,$A$2:$B$1048576,2,FALSE)="QB",AB30,VLOOKUP(AC30,$A$2:$B$1048576,2,FALSE)="QB",AC30,VLOOKUP(AD30,$A$2:$B$1048576,2,FALSE)="QB",AD30,VLOOKUP(AE30,$A$2:$B$1048576,2,FALSE)="QB",AE30,VLOOKUP(AF30,$A$2:$B$1048576,2,FALSE)="QB",AF30,VLOOKUP(AG30,$A$2:$B$1048576,2,FALSE)="QB",AG30,VLOOKUP(AH30,$A$2:$B$1048576,2,FALSE)="QB",AH30,VLOOKUP(AI30,$A$2:$B$1048576,2,FALSE)="QB",AI30)</f>
        <v>#N/A</v>
      </c>
      <c r="AL30" t="e" cm="1">
        <f t="array" ref="AL30">_xlfn.IFS(VLOOKUP(AA30,$A$2:$B$1048576,2,FALSE)="RB",AA30,VLOOKUP(AB30,$A$2:$B$1048576,2,FALSE)="RB",AB30,VLOOKUP(AC30,$A$2:$B$1048576,2,FALSE)="RB",AC30,VLOOKUP(AD30,$A$2:$B$1048576,2,FALSE)="RB",AD30,VLOOKUP(AE30,$A$2:$B$1048576,2,FALSE)="RB",AE30,VLOOKUP(AF30,$A$2:$B$1048576,2,FALSE)="RB",AF30,VLOOKUP(AG30,$A$2:$B$1048576,2,FALSE)="RB",AG30,VLOOKUP(AH30,$A$2:$B$1048576,2,FALSE)="RB",AH30,VLOOKUP(AI30,$A$2:$B$1048576,2,FALSE)="RB",AI30)</f>
        <v>#N/A</v>
      </c>
      <c r="AM30" t="e">
        <f t="shared" si="2"/>
        <v>#N/A</v>
      </c>
      <c r="AN30" t="e" cm="1">
        <f t="array" ref="AN30">_xlfn.IFS(VLOOKUP(AA30,$A$2:$B$1048576,2,FALSE)="WR",AA30,VLOOKUP(AB30,$A$2:$B$1048576,2,FALSE)="WR",AB30,VLOOKUP(AC30,$A$2:$B$1048576,2,FALSE)="WR",AC30,VLOOKUP(AD30,$A$2:$B$1048576,2,FALSE)="WR",AD30,VLOOKUP(AE30,$A$2:$B$1048576,2,FALSE)="WR",AE30,VLOOKUP(AF30,$A$2:$B$1048576,2,FALSE)="WR",AF30,VLOOKUP(AG30,$A$2:$B$1048576,2,FALSE)="WR",AG30,VLOOKUP(AH30,$A$2:$B$1048576,2,FALSE)="WR",AH30,VLOOKUP(AI30,$A$2:$B$1048576,2,FALSE)="WR",AI30)</f>
        <v>#N/A</v>
      </c>
      <c r="AO30" t="e">
        <f t="shared" si="3"/>
        <v>#N/A</v>
      </c>
      <c r="AP30" t="e">
        <f t="shared" si="4"/>
        <v>#N/A</v>
      </c>
      <c r="AQ30" t="e" cm="1">
        <f t="array" ref="AQ30">_xlfn.IFS(VLOOKUP(AA30,$A$2:$B$1048576,2,FALSE)="TE",AA30,VLOOKUP(AB30,$A$2:$B$1048576,2,FALSE)="TE",AB30,VLOOKUP(AC30,$A$2:$B$1048576,2,FALSE)="TE",AC30,VLOOKUP(AD30,$A$2:$B$1048576,2,FALSE)="TE",AD30,VLOOKUP(AE30,$A$2:$B$1048576,2,FALSE)="TE",AE30,VLOOKUP(AF30,$A$2:$B$1048576,2,FALSE)="TE",AF30,VLOOKUP(AG30,$A$2:$B$1048576,2,FALSE)="TE",AG30,VLOOKUP(AH30,$A$2:$B$1048576,2,FALSE)="TE",AH30,VLOOKUP(AI30,$A$2:$B$1048576,2,FALSE)="TE",AI30)</f>
        <v>#N/A</v>
      </c>
      <c r="AR30" t="e" cm="1">
        <f t="array" ref="AR30">_xlfn.IFS(IF(OR(AA30=AK30,AA30=AL30,AA30=AM30,AA30=AN30,AA30=AO30,AA30=AP30,AA30=AQ30,AA30=AS30),1,0)=0,AA30,IF(OR(AB30=AK30,AB30=AL30,AB30=AM30,AB30=AN30,AB30=AO30,AB30=AP30,AB30=AQ30,AB30=AS30),1,0)=0,AB30,IF(OR(AC30=AK30,AC30=AL30,AC30=AM30,AC30=AN30,AC30=AO30,AC30=AP30,AC30=AQ30,AC30=AS30),1,0)=0,AC30,IF(OR(AD30=AK30,AD30=AL30,AD30=AM30,AD30=AN30,AD30=AO30,AD30=AP30,AD30=AQ30,AD30=AS30),1,0)=0,AD30,IF(OR(AE30=AK30,AE30=AL30,AE30=AM30,AE30=AN30,AE30=AO30,AE30=AP30,AE30=AQ30,AE30=AS30),1,0)=0,AE30,IF(OR(AF30=AK30,AF30=AL30,AF30=AM30,AF30=AN30,AF30=AO30,AF30=AP30,AF30=AQ30,AF30=AS30),1,0)=0,AF30,IF(OR(AG30=AK30,AG30=AL30,AG30=AM30,AG30=AN30,AG30=AO30,AG30=AP30,AG30=AQ30,AG30=AS30),1,0)=0,AG30,IF(OR(AH30=AK30,AH30=AL30,AH30=AM30,AH30=AN30,AH30=AO30,AH30=AP30,AH30=AQ30,AH30=AS30),1,0)=0,AH30,IF(OR(AI30=AK30,AI30=AL30,AI30=AM30,AI30=AN30,AI30=AO30,AI30=AP30,AI30=AQ30,AI30=AS30),1,0)=0,AI30)</f>
        <v>#N/A</v>
      </c>
      <c r="AS30" t="e" cm="1">
        <f t="array" ref="AS30">_xlfn.IFS(VLOOKUP(AA30,$A$2:$B$1048576,2,FALSE)="DST",AA30,VLOOKUP(AB30,$A$2:$B$1048576,2,FALSE)="DST",AB30,VLOOKUP(AC30,$A$2:$B$1048576,2,FALSE)="DST",AC30,VLOOKUP(AD30,$A$2:$B$1048576,2,FALSE)="DST",AD30,VLOOKUP(AE30,$A$2:$B$1048576,2,FALSE)="DST",AE30,VLOOKUP(AF30,$A$2:$B$1048576,2,FALSE)="DST",AF30,VLOOKUP(AG30,$A$2:$B$1048576,2,FALSE)="DST",AG30,VLOOKUP(AH30,$A$2:$B$1048576,2,FALSE)="DST",AH30,VLOOKUP(AI30,$A$2:$B$1048576,2,FALSE)="DST",AI30)</f>
        <v>#N/A</v>
      </c>
    </row>
    <row r="31" spans="1:45" x14ac:dyDescent="0.35">
      <c r="A31" t="s">
        <v>54</v>
      </c>
      <c r="B31" s="11" t="s">
        <v>9</v>
      </c>
      <c r="C31" s="11">
        <v>5900</v>
      </c>
      <c r="D31" s="12">
        <v>12.201172777777776</v>
      </c>
      <c r="E31" s="12">
        <v>12.77568685626612</v>
      </c>
      <c r="F31" s="12">
        <v>24.437770370813766</v>
      </c>
      <c r="H31" s="11">
        <v>0</v>
      </c>
      <c r="I31">
        <f>IF(B31="QB",H31*1,0)</f>
        <v>0</v>
      </c>
      <c r="J31">
        <f>IF(B31="RB",H31*1,0)</f>
        <v>0</v>
      </c>
      <c r="K31">
        <f>IF(B31="WR",H31*1,0)</f>
        <v>0</v>
      </c>
      <c r="L31">
        <f>IF(B31="TE",H31*1,0)</f>
        <v>0</v>
      </c>
      <c r="M31">
        <f>IF(B31="DST",H31*1,0)</f>
        <v>0</v>
      </c>
      <c r="X31" s="11">
        <f t="shared" si="0"/>
        <v>1</v>
      </c>
      <c r="Y31" s="9">
        <v>30</v>
      </c>
      <c r="Z31" s="12">
        <f t="shared" si="1"/>
        <v>0</v>
      </c>
      <c r="AK31" t="e" cm="1">
        <f t="array" ref="AK31">_xlfn.IFS(VLOOKUP(AA31,$A$2:$B$1048576,2,FALSE)="QB",AA31,VLOOKUP(AB31,$A$2:$B$1048576,2,FALSE)="QB",AB31,VLOOKUP(AC31,$A$2:$B$1048576,2,FALSE)="QB",AC31,VLOOKUP(AD31,$A$2:$B$1048576,2,FALSE)="QB",AD31,VLOOKUP(AE31,$A$2:$B$1048576,2,FALSE)="QB",AE31,VLOOKUP(AF31,$A$2:$B$1048576,2,FALSE)="QB",AF31,VLOOKUP(AG31,$A$2:$B$1048576,2,FALSE)="QB",AG31,VLOOKUP(AH31,$A$2:$B$1048576,2,FALSE)="QB",AH31,VLOOKUP(AI31,$A$2:$B$1048576,2,FALSE)="QB",AI31)</f>
        <v>#N/A</v>
      </c>
      <c r="AL31" t="e" cm="1">
        <f t="array" ref="AL31">_xlfn.IFS(VLOOKUP(AA31,$A$2:$B$1048576,2,FALSE)="RB",AA31,VLOOKUP(AB31,$A$2:$B$1048576,2,FALSE)="RB",AB31,VLOOKUP(AC31,$A$2:$B$1048576,2,FALSE)="RB",AC31,VLOOKUP(AD31,$A$2:$B$1048576,2,FALSE)="RB",AD31,VLOOKUP(AE31,$A$2:$B$1048576,2,FALSE)="RB",AE31,VLOOKUP(AF31,$A$2:$B$1048576,2,FALSE)="RB",AF31,VLOOKUP(AG31,$A$2:$B$1048576,2,FALSE)="RB",AG31,VLOOKUP(AH31,$A$2:$B$1048576,2,FALSE)="RB",AH31,VLOOKUP(AI31,$A$2:$B$1048576,2,FALSE)="RB",AI31)</f>
        <v>#N/A</v>
      </c>
      <c r="AM31" t="e">
        <f t="shared" si="2"/>
        <v>#N/A</v>
      </c>
      <c r="AN31" t="e" cm="1">
        <f t="array" ref="AN31">_xlfn.IFS(VLOOKUP(AA31,$A$2:$B$1048576,2,FALSE)="WR",AA31,VLOOKUP(AB31,$A$2:$B$1048576,2,FALSE)="WR",AB31,VLOOKUP(AC31,$A$2:$B$1048576,2,FALSE)="WR",AC31,VLOOKUP(AD31,$A$2:$B$1048576,2,FALSE)="WR",AD31,VLOOKUP(AE31,$A$2:$B$1048576,2,FALSE)="WR",AE31,VLOOKUP(AF31,$A$2:$B$1048576,2,FALSE)="WR",AF31,VLOOKUP(AG31,$A$2:$B$1048576,2,FALSE)="WR",AG31,VLOOKUP(AH31,$A$2:$B$1048576,2,FALSE)="WR",AH31,VLOOKUP(AI31,$A$2:$B$1048576,2,FALSE)="WR",AI31)</f>
        <v>#N/A</v>
      </c>
      <c r="AO31" t="e">
        <f t="shared" si="3"/>
        <v>#N/A</v>
      </c>
      <c r="AP31" t="e">
        <f t="shared" si="4"/>
        <v>#N/A</v>
      </c>
      <c r="AQ31" t="e" cm="1">
        <f t="array" ref="AQ31">_xlfn.IFS(VLOOKUP(AA31,$A$2:$B$1048576,2,FALSE)="TE",AA31,VLOOKUP(AB31,$A$2:$B$1048576,2,FALSE)="TE",AB31,VLOOKUP(AC31,$A$2:$B$1048576,2,FALSE)="TE",AC31,VLOOKUP(AD31,$A$2:$B$1048576,2,FALSE)="TE",AD31,VLOOKUP(AE31,$A$2:$B$1048576,2,FALSE)="TE",AE31,VLOOKUP(AF31,$A$2:$B$1048576,2,FALSE)="TE",AF31,VLOOKUP(AG31,$A$2:$B$1048576,2,FALSE)="TE",AG31,VLOOKUP(AH31,$A$2:$B$1048576,2,FALSE)="TE",AH31,VLOOKUP(AI31,$A$2:$B$1048576,2,FALSE)="TE",AI31)</f>
        <v>#N/A</v>
      </c>
      <c r="AR31" t="e" cm="1">
        <f t="array" ref="AR31">_xlfn.IFS(IF(OR(AA31=AK31,AA31=AL31,AA31=AM31,AA31=AN31,AA31=AO31,AA31=AP31,AA31=AQ31,AA31=AS31),1,0)=0,AA31,IF(OR(AB31=AK31,AB31=AL31,AB31=AM31,AB31=AN31,AB31=AO31,AB31=AP31,AB31=AQ31,AB31=AS31),1,0)=0,AB31,IF(OR(AC31=AK31,AC31=AL31,AC31=AM31,AC31=AN31,AC31=AO31,AC31=AP31,AC31=AQ31,AC31=AS31),1,0)=0,AC31,IF(OR(AD31=AK31,AD31=AL31,AD31=AM31,AD31=AN31,AD31=AO31,AD31=AP31,AD31=AQ31,AD31=AS31),1,0)=0,AD31,IF(OR(AE31=AK31,AE31=AL31,AE31=AM31,AE31=AN31,AE31=AO31,AE31=AP31,AE31=AQ31,AE31=AS31),1,0)=0,AE31,IF(OR(AF31=AK31,AF31=AL31,AF31=AM31,AF31=AN31,AF31=AO31,AF31=AP31,AF31=AQ31,AF31=AS31),1,0)=0,AF31,IF(OR(AG31=AK31,AG31=AL31,AG31=AM31,AG31=AN31,AG31=AO31,AG31=AP31,AG31=AQ31,AG31=AS31),1,0)=0,AG31,IF(OR(AH31=AK31,AH31=AL31,AH31=AM31,AH31=AN31,AH31=AO31,AH31=AP31,AH31=AQ31,AH31=AS31),1,0)=0,AH31,IF(OR(AI31=AK31,AI31=AL31,AI31=AM31,AI31=AN31,AI31=AO31,AI31=AP31,AI31=AQ31,AI31=AS31),1,0)=0,AI31)</f>
        <v>#N/A</v>
      </c>
      <c r="AS31" t="e" cm="1">
        <f t="array" ref="AS31">_xlfn.IFS(VLOOKUP(AA31,$A$2:$B$1048576,2,FALSE)="DST",AA31,VLOOKUP(AB31,$A$2:$B$1048576,2,FALSE)="DST",AB31,VLOOKUP(AC31,$A$2:$B$1048576,2,FALSE)="DST",AC31,VLOOKUP(AD31,$A$2:$B$1048576,2,FALSE)="DST",AD31,VLOOKUP(AE31,$A$2:$B$1048576,2,FALSE)="DST",AE31,VLOOKUP(AF31,$A$2:$B$1048576,2,FALSE)="DST",AF31,VLOOKUP(AG31,$A$2:$B$1048576,2,FALSE)="DST",AG31,VLOOKUP(AH31,$A$2:$B$1048576,2,FALSE)="DST",AH31,VLOOKUP(AI31,$A$2:$B$1048576,2,FALSE)="DST",AI31)</f>
        <v>#N/A</v>
      </c>
    </row>
    <row r="32" spans="1:45" x14ac:dyDescent="0.35">
      <c r="A32" t="s">
        <v>55</v>
      </c>
      <c r="B32" s="11" t="s">
        <v>9</v>
      </c>
      <c r="C32" s="11">
        <v>5900</v>
      </c>
      <c r="D32" s="12">
        <v>12.201172777777776</v>
      </c>
      <c r="E32" s="12">
        <v>12.277628810879873</v>
      </c>
      <c r="F32" s="12">
        <v>24.437770370813766</v>
      </c>
      <c r="H32" s="11">
        <v>0</v>
      </c>
      <c r="I32">
        <f>IF(B32="QB",H32*1,0)</f>
        <v>0</v>
      </c>
      <c r="J32">
        <f>IF(B32="RB",H32*1,0)</f>
        <v>0</v>
      </c>
      <c r="K32">
        <f>IF(B32="WR",H32*1,0)</f>
        <v>0</v>
      </c>
      <c r="L32">
        <f>IF(B32="TE",H32*1,0)</f>
        <v>0</v>
      </c>
      <c r="M32">
        <f>IF(B32="DST",H32*1,0)</f>
        <v>0</v>
      </c>
      <c r="X32" s="11">
        <f t="shared" si="0"/>
        <v>1</v>
      </c>
      <c r="Y32" s="9">
        <v>31</v>
      </c>
      <c r="Z32" s="12">
        <f t="shared" si="1"/>
        <v>0</v>
      </c>
      <c r="AK32" t="e" cm="1">
        <f t="array" ref="AK32">_xlfn.IFS(VLOOKUP(AA32,$A$2:$B$1048576,2,FALSE)="QB",AA32,VLOOKUP(AB32,$A$2:$B$1048576,2,FALSE)="QB",AB32,VLOOKUP(AC32,$A$2:$B$1048576,2,FALSE)="QB",AC32,VLOOKUP(AD32,$A$2:$B$1048576,2,FALSE)="QB",AD32,VLOOKUP(AE32,$A$2:$B$1048576,2,FALSE)="QB",AE32,VLOOKUP(AF32,$A$2:$B$1048576,2,FALSE)="QB",AF32,VLOOKUP(AG32,$A$2:$B$1048576,2,FALSE)="QB",AG32,VLOOKUP(AH32,$A$2:$B$1048576,2,FALSE)="QB",AH32,VLOOKUP(AI32,$A$2:$B$1048576,2,FALSE)="QB",AI32)</f>
        <v>#N/A</v>
      </c>
      <c r="AL32" t="e" cm="1">
        <f t="array" ref="AL32">_xlfn.IFS(VLOOKUP(AA32,$A$2:$B$1048576,2,FALSE)="RB",AA32,VLOOKUP(AB32,$A$2:$B$1048576,2,FALSE)="RB",AB32,VLOOKUP(AC32,$A$2:$B$1048576,2,FALSE)="RB",AC32,VLOOKUP(AD32,$A$2:$B$1048576,2,FALSE)="RB",AD32,VLOOKUP(AE32,$A$2:$B$1048576,2,FALSE)="RB",AE32,VLOOKUP(AF32,$A$2:$B$1048576,2,FALSE)="RB",AF32,VLOOKUP(AG32,$A$2:$B$1048576,2,FALSE)="RB",AG32,VLOOKUP(AH32,$A$2:$B$1048576,2,FALSE)="RB",AH32,VLOOKUP(AI32,$A$2:$B$1048576,2,FALSE)="RB",AI32)</f>
        <v>#N/A</v>
      </c>
      <c r="AM32" t="e">
        <f t="shared" si="2"/>
        <v>#N/A</v>
      </c>
      <c r="AN32" t="e" cm="1">
        <f t="array" ref="AN32">_xlfn.IFS(VLOOKUP(AA32,$A$2:$B$1048576,2,FALSE)="WR",AA32,VLOOKUP(AB32,$A$2:$B$1048576,2,FALSE)="WR",AB32,VLOOKUP(AC32,$A$2:$B$1048576,2,FALSE)="WR",AC32,VLOOKUP(AD32,$A$2:$B$1048576,2,FALSE)="WR",AD32,VLOOKUP(AE32,$A$2:$B$1048576,2,FALSE)="WR",AE32,VLOOKUP(AF32,$A$2:$B$1048576,2,FALSE)="WR",AF32,VLOOKUP(AG32,$A$2:$B$1048576,2,FALSE)="WR",AG32,VLOOKUP(AH32,$A$2:$B$1048576,2,FALSE)="WR",AH32,VLOOKUP(AI32,$A$2:$B$1048576,2,FALSE)="WR",AI32)</f>
        <v>#N/A</v>
      </c>
      <c r="AO32" t="e">
        <f t="shared" si="3"/>
        <v>#N/A</v>
      </c>
      <c r="AP32" t="e">
        <f t="shared" si="4"/>
        <v>#N/A</v>
      </c>
      <c r="AQ32" t="e" cm="1">
        <f t="array" ref="AQ32">_xlfn.IFS(VLOOKUP(AA32,$A$2:$B$1048576,2,FALSE)="TE",AA32,VLOOKUP(AB32,$A$2:$B$1048576,2,FALSE)="TE",AB32,VLOOKUP(AC32,$A$2:$B$1048576,2,FALSE)="TE",AC32,VLOOKUP(AD32,$A$2:$B$1048576,2,FALSE)="TE",AD32,VLOOKUP(AE32,$A$2:$B$1048576,2,FALSE)="TE",AE32,VLOOKUP(AF32,$A$2:$B$1048576,2,FALSE)="TE",AF32,VLOOKUP(AG32,$A$2:$B$1048576,2,FALSE)="TE",AG32,VLOOKUP(AH32,$A$2:$B$1048576,2,FALSE)="TE",AH32,VLOOKUP(AI32,$A$2:$B$1048576,2,FALSE)="TE",AI32)</f>
        <v>#N/A</v>
      </c>
      <c r="AR32" t="e" cm="1">
        <f t="array" ref="AR32">_xlfn.IFS(IF(OR(AA32=AK32,AA32=AL32,AA32=AM32,AA32=AN32,AA32=AO32,AA32=AP32,AA32=AQ32,AA32=AS32),1,0)=0,AA32,IF(OR(AB32=AK32,AB32=AL32,AB32=AM32,AB32=AN32,AB32=AO32,AB32=AP32,AB32=AQ32,AB32=AS32),1,0)=0,AB32,IF(OR(AC32=AK32,AC32=AL32,AC32=AM32,AC32=AN32,AC32=AO32,AC32=AP32,AC32=AQ32,AC32=AS32),1,0)=0,AC32,IF(OR(AD32=AK32,AD32=AL32,AD32=AM32,AD32=AN32,AD32=AO32,AD32=AP32,AD32=AQ32,AD32=AS32),1,0)=0,AD32,IF(OR(AE32=AK32,AE32=AL32,AE32=AM32,AE32=AN32,AE32=AO32,AE32=AP32,AE32=AQ32,AE32=AS32),1,0)=0,AE32,IF(OR(AF32=AK32,AF32=AL32,AF32=AM32,AF32=AN32,AF32=AO32,AF32=AP32,AF32=AQ32,AF32=AS32),1,0)=0,AF32,IF(OR(AG32=AK32,AG32=AL32,AG32=AM32,AG32=AN32,AG32=AO32,AG32=AP32,AG32=AQ32,AG32=AS32),1,0)=0,AG32,IF(OR(AH32=AK32,AH32=AL32,AH32=AM32,AH32=AN32,AH32=AO32,AH32=AP32,AH32=AQ32,AH32=AS32),1,0)=0,AH32,IF(OR(AI32=AK32,AI32=AL32,AI32=AM32,AI32=AN32,AI32=AO32,AI32=AP32,AI32=AQ32,AI32=AS32),1,0)=0,AI32)</f>
        <v>#N/A</v>
      </c>
      <c r="AS32" t="e" cm="1">
        <f t="array" ref="AS32">_xlfn.IFS(VLOOKUP(AA32,$A$2:$B$1048576,2,FALSE)="DST",AA32,VLOOKUP(AB32,$A$2:$B$1048576,2,FALSE)="DST",AB32,VLOOKUP(AC32,$A$2:$B$1048576,2,FALSE)="DST",AC32,VLOOKUP(AD32,$A$2:$B$1048576,2,FALSE)="DST",AD32,VLOOKUP(AE32,$A$2:$B$1048576,2,FALSE)="DST",AE32,VLOOKUP(AF32,$A$2:$B$1048576,2,FALSE)="DST",AF32,VLOOKUP(AG32,$A$2:$B$1048576,2,FALSE)="DST",AG32,VLOOKUP(AH32,$A$2:$B$1048576,2,FALSE)="DST",AH32,VLOOKUP(AI32,$A$2:$B$1048576,2,FALSE)="DST",AI32)</f>
        <v>#N/A</v>
      </c>
    </row>
    <row r="33" spans="1:45" x14ac:dyDescent="0.35">
      <c r="A33" t="s">
        <v>56</v>
      </c>
      <c r="B33" s="11" t="s">
        <v>9</v>
      </c>
      <c r="C33" s="11">
        <v>5700</v>
      </c>
      <c r="D33" s="12">
        <v>12.013783888888886</v>
      </c>
      <c r="E33" s="12">
        <v>13.161028306042152</v>
      </c>
      <c r="F33" s="12">
        <v>23.88803530983774</v>
      </c>
      <c r="H33" s="11">
        <v>0</v>
      </c>
      <c r="I33">
        <f>IF(B33="QB",H33*1,0)</f>
        <v>0</v>
      </c>
      <c r="J33">
        <f>IF(B33="RB",H33*1,0)</f>
        <v>0</v>
      </c>
      <c r="K33">
        <f>IF(B33="WR",H33*1,0)</f>
        <v>0</v>
      </c>
      <c r="L33">
        <f>IF(B33="TE",H33*1,0)</f>
        <v>0</v>
      </c>
      <c r="M33">
        <f>IF(B33="DST",H33*1,0)</f>
        <v>0</v>
      </c>
      <c r="X33" s="11">
        <f t="shared" si="0"/>
        <v>1</v>
      </c>
      <c r="Y33" s="9">
        <v>32</v>
      </c>
      <c r="Z33" s="12">
        <f t="shared" si="1"/>
        <v>0</v>
      </c>
      <c r="AK33" t="e" cm="1">
        <f t="array" ref="AK33">_xlfn.IFS(VLOOKUP(AA33,$A$2:$B$1048576,2,FALSE)="QB",AA33,VLOOKUP(AB33,$A$2:$B$1048576,2,FALSE)="QB",AB33,VLOOKUP(AC33,$A$2:$B$1048576,2,FALSE)="QB",AC33,VLOOKUP(AD33,$A$2:$B$1048576,2,FALSE)="QB",AD33,VLOOKUP(AE33,$A$2:$B$1048576,2,FALSE)="QB",AE33,VLOOKUP(AF33,$A$2:$B$1048576,2,FALSE)="QB",AF33,VLOOKUP(AG33,$A$2:$B$1048576,2,FALSE)="QB",AG33,VLOOKUP(AH33,$A$2:$B$1048576,2,FALSE)="QB",AH33,VLOOKUP(AI33,$A$2:$B$1048576,2,FALSE)="QB",AI33)</f>
        <v>#N/A</v>
      </c>
      <c r="AL33" t="e" cm="1">
        <f t="array" ref="AL33">_xlfn.IFS(VLOOKUP(AA33,$A$2:$B$1048576,2,FALSE)="RB",AA33,VLOOKUP(AB33,$A$2:$B$1048576,2,FALSE)="RB",AB33,VLOOKUP(AC33,$A$2:$B$1048576,2,FALSE)="RB",AC33,VLOOKUP(AD33,$A$2:$B$1048576,2,FALSE)="RB",AD33,VLOOKUP(AE33,$A$2:$B$1048576,2,FALSE)="RB",AE33,VLOOKUP(AF33,$A$2:$B$1048576,2,FALSE)="RB",AF33,VLOOKUP(AG33,$A$2:$B$1048576,2,FALSE)="RB",AG33,VLOOKUP(AH33,$A$2:$B$1048576,2,FALSE)="RB",AH33,VLOOKUP(AI33,$A$2:$B$1048576,2,FALSE)="RB",AI33)</f>
        <v>#N/A</v>
      </c>
      <c r="AM33" t="e">
        <f t="shared" si="2"/>
        <v>#N/A</v>
      </c>
      <c r="AN33" t="e" cm="1">
        <f t="array" ref="AN33">_xlfn.IFS(VLOOKUP(AA33,$A$2:$B$1048576,2,FALSE)="WR",AA33,VLOOKUP(AB33,$A$2:$B$1048576,2,FALSE)="WR",AB33,VLOOKUP(AC33,$A$2:$B$1048576,2,FALSE)="WR",AC33,VLOOKUP(AD33,$A$2:$B$1048576,2,FALSE)="WR",AD33,VLOOKUP(AE33,$A$2:$B$1048576,2,FALSE)="WR",AE33,VLOOKUP(AF33,$A$2:$B$1048576,2,FALSE)="WR",AF33,VLOOKUP(AG33,$A$2:$B$1048576,2,FALSE)="WR",AG33,VLOOKUP(AH33,$A$2:$B$1048576,2,FALSE)="WR",AH33,VLOOKUP(AI33,$A$2:$B$1048576,2,FALSE)="WR",AI33)</f>
        <v>#N/A</v>
      </c>
      <c r="AO33" t="e">
        <f t="shared" si="3"/>
        <v>#N/A</v>
      </c>
      <c r="AP33" t="e">
        <f t="shared" si="4"/>
        <v>#N/A</v>
      </c>
      <c r="AQ33" t="e" cm="1">
        <f t="array" ref="AQ33">_xlfn.IFS(VLOOKUP(AA33,$A$2:$B$1048576,2,FALSE)="TE",AA33,VLOOKUP(AB33,$A$2:$B$1048576,2,FALSE)="TE",AB33,VLOOKUP(AC33,$A$2:$B$1048576,2,FALSE)="TE",AC33,VLOOKUP(AD33,$A$2:$B$1048576,2,FALSE)="TE",AD33,VLOOKUP(AE33,$A$2:$B$1048576,2,FALSE)="TE",AE33,VLOOKUP(AF33,$A$2:$B$1048576,2,FALSE)="TE",AF33,VLOOKUP(AG33,$A$2:$B$1048576,2,FALSE)="TE",AG33,VLOOKUP(AH33,$A$2:$B$1048576,2,FALSE)="TE",AH33,VLOOKUP(AI33,$A$2:$B$1048576,2,FALSE)="TE",AI33)</f>
        <v>#N/A</v>
      </c>
      <c r="AR33" t="e" cm="1">
        <f t="array" ref="AR33">_xlfn.IFS(IF(OR(AA33=AK33,AA33=AL33,AA33=AM33,AA33=AN33,AA33=AO33,AA33=AP33,AA33=AQ33,AA33=AS33),1,0)=0,AA33,IF(OR(AB33=AK33,AB33=AL33,AB33=AM33,AB33=AN33,AB33=AO33,AB33=AP33,AB33=AQ33,AB33=AS33),1,0)=0,AB33,IF(OR(AC33=AK33,AC33=AL33,AC33=AM33,AC33=AN33,AC33=AO33,AC33=AP33,AC33=AQ33,AC33=AS33),1,0)=0,AC33,IF(OR(AD33=AK33,AD33=AL33,AD33=AM33,AD33=AN33,AD33=AO33,AD33=AP33,AD33=AQ33,AD33=AS33),1,0)=0,AD33,IF(OR(AE33=AK33,AE33=AL33,AE33=AM33,AE33=AN33,AE33=AO33,AE33=AP33,AE33=AQ33,AE33=AS33),1,0)=0,AE33,IF(OR(AF33=AK33,AF33=AL33,AF33=AM33,AF33=AN33,AF33=AO33,AF33=AP33,AF33=AQ33,AF33=AS33),1,0)=0,AF33,IF(OR(AG33=AK33,AG33=AL33,AG33=AM33,AG33=AN33,AG33=AO33,AG33=AP33,AG33=AQ33,AG33=AS33),1,0)=0,AG33,IF(OR(AH33=AK33,AH33=AL33,AH33=AM33,AH33=AN33,AH33=AO33,AH33=AP33,AH33=AQ33,AH33=AS33),1,0)=0,AH33,IF(OR(AI33=AK33,AI33=AL33,AI33=AM33,AI33=AN33,AI33=AO33,AI33=AP33,AI33=AQ33,AI33=AS33),1,0)=0,AI33)</f>
        <v>#N/A</v>
      </c>
      <c r="AS33" t="e" cm="1">
        <f t="array" ref="AS33">_xlfn.IFS(VLOOKUP(AA33,$A$2:$B$1048576,2,FALSE)="DST",AA33,VLOOKUP(AB33,$A$2:$B$1048576,2,FALSE)="DST",AB33,VLOOKUP(AC33,$A$2:$B$1048576,2,FALSE)="DST",AC33,VLOOKUP(AD33,$A$2:$B$1048576,2,FALSE)="DST",AD33,VLOOKUP(AE33,$A$2:$B$1048576,2,FALSE)="DST",AE33,VLOOKUP(AF33,$A$2:$B$1048576,2,FALSE)="DST",AF33,VLOOKUP(AG33,$A$2:$B$1048576,2,FALSE)="DST",AG33,VLOOKUP(AH33,$A$2:$B$1048576,2,FALSE)="DST",AH33,VLOOKUP(AI33,$A$2:$B$1048576,2,FALSE)="DST",AI33)</f>
        <v>#N/A</v>
      </c>
    </row>
    <row r="34" spans="1:45" x14ac:dyDescent="0.35">
      <c r="A34" t="s">
        <v>57</v>
      </c>
      <c r="B34" s="11" t="s">
        <v>9</v>
      </c>
      <c r="C34" s="11">
        <v>4900</v>
      </c>
      <c r="D34" s="12">
        <v>11.844783888888887</v>
      </c>
      <c r="E34" s="12">
        <v>14.77783207744779</v>
      </c>
      <c r="F34" s="12">
        <v>23.446542211223761</v>
      </c>
      <c r="H34" s="11">
        <v>0</v>
      </c>
      <c r="I34">
        <f>IF(B34="QB",H34*1,0)</f>
        <v>0</v>
      </c>
      <c r="J34">
        <f>IF(B34="RB",H34*1,0)</f>
        <v>0</v>
      </c>
      <c r="K34">
        <f>IF(B34="WR",H34*1,0)</f>
        <v>0</v>
      </c>
      <c r="L34">
        <f>IF(B34="TE",H34*1,0)</f>
        <v>0</v>
      </c>
      <c r="M34">
        <f>IF(B34="DST",H34*1,0)</f>
        <v>0</v>
      </c>
      <c r="X34" s="11">
        <f t="shared" si="0"/>
        <v>1</v>
      </c>
      <c r="Y34" s="9">
        <v>33</v>
      </c>
      <c r="Z34" s="12">
        <f t="shared" si="1"/>
        <v>0</v>
      </c>
      <c r="AK34" t="e" cm="1">
        <f t="array" ref="AK34">_xlfn.IFS(VLOOKUP(AA34,$A$2:$B$1048576,2,FALSE)="QB",AA34,VLOOKUP(AB34,$A$2:$B$1048576,2,FALSE)="QB",AB34,VLOOKUP(AC34,$A$2:$B$1048576,2,FALSE)="QB",AC34,VLOOKUP(AD34,$A$2:$B$1048576,2,FALSE)="QB",AD34,VLOOKUP(AE34,$A$2:$B$1048576,2,FALSE)="QB",AE34,VLOOKUP(AF34,$A$2:$B$1048576,2,FALSE)="QB",AF34,VLOOKUP(AG34,$A$2:$B$1048576,2,FALSE)="QB",AG34,VLOOKUP(AH34,$A$2:$B$1048576,2,FALSE)="QB",AH34,VLOOKUP(AI34,$A$2:$B$1048576,2,FALSE)="QB",AI34)</f>
        <v>#N/A</v>
      </c>
      <c r="AL34" t="e" cm="1">
        <f t="array" ref="AL34">_xlfn.IFS(VLOOKUP(AA34,$A$2:$B$1048576,2,FALSE)="RB",AA34,VLOOKUP(AB34,$A$2:$B$1048576,2,FALSE)="RB",AB34,VLOOKUP(AC34,$A$2:$B$1048576,2,FALSE)="RB",AC34,VLOOKUP(AD34,$A$2:$B$1048576,2,FALSE)="RB",AD34,VLOOKUP(AE34,$A$2:$B$1048576,2,FALSE)="RB",AE34,VLOOKUP(AF34,$A$2:$B$1048576,2,FALSE)="RB",AF34,VLOOKUP(AG34,$A$2:$B$1048576,2,FALSE)="RB",AG34,VLOOKUP(AH34,$A$2:$B$1048576,2,FALSE)="RB",AH34,VLOOKUP(AI34,$A$2:$B$1048576,2,FALSE)="RB",AI34)</f>
        <v>#N/A</v>
      </c>
      <c r="AM34" t="e">
        <f t="shared" si="2"/>
        <v>#N/A</v>
      </c>
      <c r="AN34" t="e" cm="1">
        <f t="array" ref="AN34">_xlfn.IFS(VLOOKUP(AA34,$A$2:$B$1048576,2,FALSE)="WR",AA34,VLOOKUP(AB34,$A$2:$B$1048576,2,FALSE)="WR",AB34,VLOOKUP(AC34,$A$2:$B$1048576,2,FALSE)="WR",AC34,VLOOKUP(AD34,$A$2:$B$1048576,2,FALSE)="WR",AD34,VLOOKUP(AE34,$A$2:$B$1048576,2,FALSE)="WR",AE34,VLOOKUP(AF34,$A$2:$B$1048576,2,FALSE)="WR",AF34,VLOOKUP(AG34,$A$2:$B$1048576,2,FALSE)="WR",AG34,VLOOKUP(AH34,$A$2:$B$1048576,2,FALSE)="WR",AH34,VLOOKUP(AI34,$A$2:$B$1048576,2,FALSE)="WR",AI34)</f>
        <v>#N/A</v>
      </c>
      <c r="AO34" t="e">
        <f t="shared" si="3"/>
        <v>#N/A</v>
      </c>
      <c r="AP34" t="e">
        <f t="shared" si="4"/>
        <v>#N/A</v>
      </c>
      <c r="AQ34" t="e" cm="1">
        <f t="array" ref="AQ34">_xlfn.IFS(VLOOKUP(AA34,$A$2:$B$1048576,2,FALSE)="TE",AA34,VLOOKUP(AB34,$A$2:$B$1048576,2,FALSE)="TE",AB34,VLOOKUP(AC34,$A$2:$B$1048576,2,FALSE)="TE",AC34,VLOOKUP(AD34,$A$2:$B$1048576,2,FALSE)="TE",AD34,VLOOKUP(AE34,$A$2:$B$1048576,2,FALSE)="TE",AE34,VLOOKUP(AF34,$A$2:$B$1048576,2,FALSE)="TE",AF34,VLOOKUP(AG34,$A$2:$B$1048576,2,FALSE)="TE",AG34,VLOOKUP(AH34,$A$2:$B$1048576,2,FALSE)="TE",AH34,VLOOKUP(AI34,$A$2:$B$1048576,2,FALSE)="TE",AI34)</f>
        <v>#N/A</v>
      </c>
      <c r="AR34" t="e" cm="1">
        <f t="array" ref="AR34">_xlfn.IFS(IF(OR(AA34=AK34,AA34=AL34,AA34=AM34,AA34=AN34,AA34=AO34,AA34=AP34,AA34=AQ34,AA34=AS34),1,0)=0,AA34,IF(OR(AB34=AK34,AB34=AL34,AB34=AM34,AB34=AN34,AB34=AO34,AB34=AP34,AB34=AQ34,AB34=AS34),1,0)=0,AB34,IF(OR(AC34=AK34,AC34=AL34,AC34=AM34,AC34=AN34,AC34=AO34,AC34=AP34,AC34=AQ34,AC34=AS34),1,0)=0,AC34,IF(OR(AD34=AK34,AD34=AL34,AD34=AM34,AD34=AN34,AD34=AO34,AD34=AP34,AD34=AQ34,AD34=AS34),1,0)=0,AD34,IF(OR(AE34=AK34,AE34=AL34,AE34=AM34,AE34=AN34,AE34=AO34,AE34=AP34,AE34=AQ34,AE34=AS34),1,0)=0,AE34,IF(OR(AF34=AK34,AF34=AL34,AF34=AM34,AF34=AN34,AF34=AO34,AF34=AP34,AF34=AQ34,AF34=AS34),1,0)=0,AF34,IF(OR(AG34=AK34,AG34=AL34,AG34=AM34,AG34=AN34,AG34=AO34,AG34=AP34,AG34=AQ34,AG34=AS34),1,0)=0,AG34,IF(OR(AH34=AK34,AH34=AL34,AH34=AM34,AH34=AN34,AH34=AO34,AH34=AP34,AH34=AQ34,AH34=AS34),1,0)=0,AH34,IF(OR(AI34=AK34,AI34=AL34,AI34=AM34,AI34=AN34,AI34=AO34,AI34=AP34,AI34=AQ34,AI34=AS34),1,0)=0,AI34)</f>
        <v>#N/A</v>
      </c>
      <c r="AS34" t="e" cm="1">
        <f t="array" ref="AS34">_xlfn.IFS(VLOOKUP(AA34,$A$2:$B$1048576,2,FALSE)="DST",AA34,VLOOKUP(AB34,$A$2:$B$1048576,2,FALSE)="DST",AB34,VLOOKUP(AC34,$A$2:$B$1048576,2,FALSE)="DST",AC34,VLOOKUP(AD34,$A$2:$B$1048576,2,FALSE)="DST",AD34,VLOOKUP(AE34,$A$2:$B$1048576,2,FALSE)="DST",AE34,VLOOKUP(AF34,$A$2:$B$1048576,2,FALSE)="DST",AF34,VLOOKUP(AG34,$A$2:$B$1048576,2,FALSE)="DST",AG34,VLOOKUP(AH34,$A$2:$B$1048576,2,FALSE)="DST",AH34,VLOOKUP(AI34,$A$2:$B$1048576,2,FALSE)="DST",AI34)</f>
        <v>#N/A</v>
      </c>
    </row>
    <row r="35" spans="1:45" x14ac:dyDescent="0.35">
      <c r="A35" t="s">
        <v>58</v>
      </c>
      <c r="B35" s="11" t="s">
        <v>9</v>
      </c>
      <c r="C35" s="11">
        <v>5500</v>
      </c>
      <c r="D35" s="12">
        <v>11.759867222222221</v>
      </c>
      <c r="E35" s="12">
        <v>13.30707497952857</v>
      </c>
      <c r="F35" s="12">
        <v>23.137844539672614</v>
      </c>
      <c r="H35" s="11">
        <v>0</v>
      </c>
      <c r="I35">
        <f>IF(B35="QB",H35*1,0)</f>
        <v>0</v>
      </c>
      <c r="J35">
        <f>IF(B35="RB",H35*1,0)</f>
        <v>0</v>
      </c>
      <c r="K35">
        <f>IF(B35="WR",H35*1,0)</f>
        <v>0</v>
      </c>
      <c r="L35">
        <f>IF(B35="TE",H35*1,0)</f>
        <v>0</v>
      </c>
      <c r="M35">
        <f>IF(B35="DST",H35*1,0)</f>
        <v>0</v>
      </c>
      <c r="X35" s="11">
        <f t="shared" si="0"/>
        <v>1</v>
      </c>
      <c r="Y35" s="9">
        <v>34</v>
      </c>
      <c r="Z35" s="12">
        <f t="shared" si="1"/>
        <v>0</v>
      </c>
      <c r="AK35" t="e" cm="1">
        <f t="array" ref="AK35">_xlfn.IFS(VLOOKUP(AA35,$A$2:$B$1048576,2,FALSE)="QB",AA35,VLOOKUP(AB35,$A$2:$B$1048576,2,FALSE)="QB",AB35,VLOOKUP(AC35,$A$2:$B$1048576,2,FALSE)="QB",AC35,VLOOKUP(AD35,$A$2:$B$1048576,2,FALSE)="QB",AD35,VLOOKUP(AE35,$A$2:$B$1048576,2,FALSE)="QB",AE35,VLOOKUP(AF35,$A$2:$B$1048576,2,FALSE)="QB",AF35,VLOOKUP(AG35,$A$2:$B$1048576,2,FALSE)="QB",AG35,VLOOKUP(AH35,$A$2:$B$1048576,2,FALSE)="QB",AH35,VLOOKUP(AI35,$A$2:$B$1048576,2,FALSE)="QB",AI35)</f>
        <v>#N/A</v>
      </c>
      <c r="AL35" t="e" cm="1">
        <f t="array" ref="AL35">_xlfn.IFS(VLOOKUP(AA35,$A$2:$B$1048576,2,FALSE)="RB",AA35,VLOOKUP(AB35,$A$2:$B$1048576,2,FALSE)="RB",AB35,VLOOKUP(AC35,$A$2:$B$1048576,2,FALSE)="RB",AC35,VLOOKUP(AD35,$A$2:$B$1048576,2,FALSE)="RB",AD35,VLOOKUP(AE35,$A$2:$B$1048576,2,FALSE)="RB",AE35,VLOOKUP(AF35,$A$2:$B$1048576,2,FALSE)="RB",AF35,VLOOKUP(AG35,$A$2:$B$1048576,2,FALSE)="RB",AG35,VLOOKUP(AH35,$A$2:$B$1048576,2,FALSE)="RB",AH35,VLOOKUP(AI35,$A$2:$B$1048576,2,FALSE)="RB",AI35)</f>
        <v>#N/A</v>
      </c>
      <c r="AM35" t="e">
        <f t="shared" si="2"/>
        <v>#N/A</v>
      </c>
      <c r="AN35" t="e" cm="1">
        <f t="array" ref="AN35">_xlfn.IFS(VLOOKUP(AA35,$A$2:$B$1048576,2,FALSE)="WR",AA35,VLOOKUP(AB35,$A$2:$B$1048576,2,FALSE)="WR",AB35,VLOOKUP(AC35,$A$2:$B$1048576,2,FALSE)="WR",AC35,VLOOKUP(AD35,$A$2:$B$1048576,2,FALSE)="WR",AD35,VLOOKUP(AE35,$A$2:$B$1048576,2,FALSE)="WR",AE35,VLOOKUP(AF35,$A$2:$B$1048576,2,FALSE)="WR",AF35,VLOOKUP(AG35,$A$2:$B$1048576,2,FALSE)="WR",AG35,VLOOKUP(AH35,$A$2:$B$1048576,2,FALSE)="WR",AH35,VLOOKUP(AI35,$A$2:$B$1048576,2,FALSE)="WR",AI35)</f>
        <v>#N/A</v>
      </c>
      <c r="AO35" t="e">
        <f t="shared" si="3"/>
        <v>#N/A</v>
      </c>
      <c r="AP35" t="e">
        <f t="shared" si="4"/>
        <v>#N/A</v>
      </c>
      <c r="AQ35" t="e" cm="1">
        <f t="array" ref="AQ35">_xlfn.IFS(VLOOKUP(AA35,$A$2:$B$1048576,2,FALSE)="TE",AA35,VLOOKUP(AB35,$A$2:$B$1048576,2,FALSE)="TE",AB35,VLOOKUP(AC35,$A$2:$B$1048576,2,FALSE)="TE",AC35,VLOOKUP(AD35,$A$2:$B$1048576,2,FALSE)="TE",AD35,VLOOKUP(AE35,$A$2:$B$1048576,2,FALSE)="TE",AE35,VLOOKUP(AF35,$A$2:$B$1048576,2,FALSE)="TE",AF35,VLOOKUP(AG35,$A$2:$B$1048576,2,FALSE)="TE",AG35,VLOOKUP(AH35,$A$2:$B$1048576,2,FALSE)="TE",AH35,VLOOKUP(AI35,$A$2:$B$1048576,2,FALSE)="TE",AI35)</f>
        <v>#N/A</v>
      </c>
      <c r="AR35" t="e" cm="1">
        <f t="array" ref="AR35">_xlfn.IFS(IF(OR(AA35=AK35,AA35=AL35,AA35=AM35,AA35=AN35,AA35=AO35,AA35=AP35,AA35=AQ35,AA35=AS35),1,0)=0,AA35,IF(OR(AB35=AK35,AB35=AL35,AB35=AM35,AB35=AN35,AB35=AO35,AB35=AP35,AB35=AQ35,AB35=AS35),1,0)=0,AB35,IF(OR(AC35=AK35,AC35=AL35,AC35=AM35,AC35=AN35,AC35=AO35,AC35=AP35,AC35=AQ35,AC35=AS35),1,0)=0,AC35,IF(OR(AD35=AK35,AD35=AL35,AD35=AM35,AD35=AN35,AD35=AO35,AD35=AP35,AD35=AQ35,AD35=AS35),1,0)=0,AD35,IF(OR(AE35=AK35,AE35=AL35,AE35=AM35,AE35=AN35,AE35=AO35,AE35=AP35,AE35=AQ35,AE35=AS35),1,0)=0,AE35,IF(OR(AF35=AK35,AF35=AL35,AF35=AM35,AF35=AN35,AF35=AO35,AF35=AP35,AF35=AQ35,AF35=AS35),1,0)=0,AF35,IF(OR(AG35=AK35,AG35=AL35,AG35=AM35,AG35=AN35,AG35=AO35,AG35=AP35,AG35=AQ35,AG35=AS35),1,0)=0,AG35,IF(OR(AH35=AK35,AH35=AL35,AH35=AM35,AH35=AN35,AH35=AO35,AH35=AP35,AH35=AQ35,AH35=AS35),1,0)=0,AH35,IF(OR(AI35=AK35,AI35=AL35,AI35=AM35,AI35=AN35,AI35=AO35,AI35=AP35,AI35=AQ35,AI35=AS35),1,0)=0,AI35)</f>
        <v>#N/A</v>
      </c>
      <c r="AS35" t="e" cm="1">
        <f t="array" ref="AS35">_xlfn.IFS(VLOOKUP(AA35,$A$2:$B$1048576,2,FALSE)="DST",AA35,VLOOKUP(AB35,$A$2:$B$1048576,2,FALSE)="DST",AB35,VLOOKUP(AC35,$A$2:$B$1048576,2,FALSE)="DST",AC35,VLOOKUP(AD35,$A$2:$B$1048576,2,FALSE)="DST",AD35,VLOOKUP(AE35,$A$2:$B$1048576,2,FALSE)="DST",AE35,VLOOKUP(AF35,$A$2:$B$1048576,2,FALSE)="DST",AF35,VLOOKUP(AG35,$A$2:$B$1048576,2,FALSE)="DST",AG35,VLOOKUP(AH35,$A$2:$B$1048576,2,FALSE)="DST",AH35,VLOOKUP(AI35,$A$2:$B$1048576,2,FALSE)="DST",AI35)</f>
        <v>#N/A</v>
      </c>
    </row>
    <row r="36" spans="1:45" x14ac:dyDescent="0.35">
      <c r="A36" t="s">
        <v>59</v>
      </c>
      <c r="B36" s="11" t="s">
        <v>9</v>
      </c>
      <c r="C36" s="11">
        <v>5600</v>
      </c>
      <c r="D36" s="12">
        <v>11.738631111111109</v>
      </c>
      <c r="E36" s="12">
        <v>12.347643128686519</v>
      </c>
      <c r="F36" s="12">
        <v>23.06633191161152</v>
      </c>
      <c r="H36" s="11">
        <v>0</v>
      </c>
      <c r="I36">
        <f>IF(B36="QB",H36*1,0)</f>
        <v>0</v>
      </c>
      <c r="J36">
        <f>IF(B36="RB",H36*1,0)</f>
        <v>0</v>
      </c>
      <c r="K36">
        <f>IF(B36="WR",H36*1,0)</f>
        <v>0</v>
      </c>
      <c r="L36">
        <f>IF(B36="TE",H36*1,0)</f>
        <v>0</v>
      </c>
      <c r="M36">
        <f>IF(B36="DST",H36*1,0)</f>
        <v>0</v>
      </c>
      <c r="X36" s="11">
        <f t="shared" si="0"/>
        <v>1</v>
      </c>
      <c r="Y36" s="9">
        <v>35</v>
      </c>
      <c r="Z36" s="12">
        <f t="shared" si="1"/>
        <v>0</v>
      </c>
      <c r="AK36" t="e" cm="1">
        <f t="array" ref="AK36">_xlfn.IFS(VLOOKUP(AA36,$A$2:$B$1048576,2,FALSE)="QB",AA36,VLOOKUP(AB36,$A$2:$B$1048576,2,FALSE)="QB",AB36,VLOOKUP(AC36,$A$2:$B$1048576,2,FALSE)="QB",AC36,VLOOKUP(AD36,$A$2:$B$1048576,2,FALSE)="QB",AD36,VLOOKUP(AE36,$A$2:$B$1048576,2,FALSE)="QB",AE36,VLOOKUP(AF36,$A$2:$B$1048576,2,FALSE)="QB",AF36,VLOOKUP(AG36,$A$2:$B$1048576,2,FALSE)="QB",AG36,VLOOKUP(AH36,$A$2:$B$1048576,2,FALSE)="QB",AH36,VLOOKUP(AI36,$A$2:$B$1048576,2,FALSE)="QB",AI36)</f>
        <v>#N/A</v>
      </c>
      <c r="AL36" t="e" cm="1">
        <f t="array" ref="AL36">_xlfn.IFS(VLOOKUP(AA36,$A$2:$B$1048576,2,FALSE)="RB",AA36,VLOOKUP(AB36,$A$2:$B$1048576,2,FALSE)="RB",AB36,VLOOKUP(AC36,$A$2:$B$1048576,2,FALSE)="RB",AC36,VLOOKUP(AD36,$A$2:$B$1048576,2,FALSE)="RB",AD36,VLOOKUP(AE36,$A$2:$B$1048576,2,FALSE)="RB",AE36,VLOOKUP(AF36,$A$2:$B$1048576,2,FALSE)="RB",AF36,VLOOKUP(AG36,$A$2:$B$1048576,2,FALSE)="RB",AG36,VLOOKUP(AH36,$A$2:$B$1048576,2,FALSE)="RB",AH36,VLOOKUP(AI36,$A$2:$B$1048576,2,FALSE)="RB",AI36)</f>
        <v>#N/A</v>
      </c>
      <c r="AM36" t="e">
        <f t="shared" si="2"/>
        <v>#N/A</v>
      </c>
      <c r="AN36" t="e" cm="1">
        <f t="array" ref="AN36">_xlfn.IFS(VLOOKUP(AA36,$A$2:$B$1048576,2,FALSE)="WR",AA36,VLOOKUP(AB36,$A$2:$B$1048576,2,FALSE)="WR",AB36,VLOOKUP(AC36,$A$2:$B$1048576,2,FALSE)="WR",AC36,VLOOKUP(AD36,$A$2:$B$1048576,2,FALSE)="WR",AD36,VLOOKUP(AE36,$A$2:$B$1048576,2,FALSE)="WR",AE36,VLOOKUP(AF36,$A$2:$B$1048576,2,FALSE)="WR",AF36,VLOOKUP(AG36,$A$2:$B$1048576,2,FALSE)="WR",AG36,VLOOKUP(AH36,$A$2:$B$1048576,2,FALSE)="WR",AH36,VLOOKUP(AI36,$A$2:$B$1048576,2,FALSE)="WR",AI36)</f>
        <v>#N/A</v>
      </c>
      <c r="AO36" t="e">
        <f t="shared" si="3"/>
        <v>#N/A</v>
      </c>
      <c r="AP36" t="e">
        <f t="shared" si="4"/>
        <v>#N/A</v>
      </c>
      <c r="AQ36" t="e" cm="1">
        <f t="array" ref="AQ36">_xlfn.IFS(VLOOKUP(AA36,$A$2:$B$1048576,2,FALSE)="TE",AA36,VLOOKUP(AB36,$A$2:$B$1048576,2,FALSE)="TE",AB36,VLOOKUP(AC36,$A$2:$B$1048576,2,FALSE)="TE",AC36,VLOOKUP(AD36,$A$2:$B$1048576,2,FALSE)="TE",AD36,VLOOKUP(AE36,$A$2:$B$1048576,2,FALSE)="TE",AE36,VLOOKUP(AF36,$A$2:$B$1048576,2,FALSE)="TE",AF36,VLOOKUP(AG36,$A$2:$B$1048576,2,FALSE)="TE",AG36,VLOOKUP(AH36,$A$2:$B$1048576,2,FALSE)="TE",AH36,VLOOKUP(AI36,$A$2:$B$1048576,2,FALSE)="TE",AI36)</f>
        <v>#N/A</v>
      </c>
      <c r="AR36" t="e" cm="1">
        <f t="array" ref="AR36">_xlfn.IFS(IF(OR(AA36=AK36,AA36=AL36,AA36=AM36,AA36=AN36,AA36=AO36,AA36=AP36,AA36=AQ36,AA36=AS36),1,0)=0,AA36,IF(OR(AB36=AK36,AB36=AL36,AB36=AM36,AB36=AN36,AB36=AO36,AB36=AP36,AB36=AQ36,AB36=AS36),1,0)=0,AB36,IF(OR(AC36=AK36,AC36=AL36,AC36=AM36,AC36=AN36,AC36=AO36,AC36=AP36,AC36=AQ36,AC36=AS36),1,0)=0,AC36,IF(OR(AD36=AK36,AD36=AL36,AD36=AM36,AD36=AN36,AD36=AO36,AD36=AP36,AD36=AQ36,AD36=AS36),1,0)=0,AD36,IF(OR(AE36=AK36,AE36=AL36,AE36=AM36,AE36=AN36,AE36=AO36,AE36=AP36,AE36=AQ36,AE36=AS36),1,0)=0,AE36,IF(OR(AF36=AK36,AF36=AL36,AF36=AM36,AF36=AN36,AF36=AO36,AF36=AP36,AF36=AQ36,AF36=AS36),1,0)=0,AF36,IF(OR(AG36=AK36,AG36=AL36,AG36=AM36,AG36=AN36,AG36=AO36,AG36=AP36,AG36=AQ36,AG36=AS36),1,0)=0,AG36,IF(OR(AH36=AK36,AH36=AL36,AH36=AM36,AH36=AN36,AH36=AO36,AH36=AP36,AH36=AQ36,AH36=AS36),1,0)=0,AH36,IF(OR(AI36=AK36,AI36=AL36,AI36=AM36,AI36=AN36,AI36=AO36,AI36=AP36,AI36=AQ36,AI36=AS36),1,0)=0,AI36)</f>
        <v>#N/A</v>
      </c>
      <c r="AS36" t="e" cm="1">
        <f t="array" ref="AS36">_xlfn.IFS(VLOOKUP(AA36,$A$2:$B$1048576,2,FALSE)="DST",AA36,VLOOKUP(AB36,$A$2:$B$1048576,2,FALSE)="DST",AB36,VLOOKUP(AC36,$A$2:$B$1048576,2,FALSE)="DST",AC36,VLOOKUP(AD36,$A$2:$B$1048576,2,FALSE)="DST",AD36,VLOOKUP(AE36,$A$2:$B$1048576,2,FALSE)="DST",AE36,VLOOKUP(AF36,$A$2:$B$1048576,2,FALSE)="DST",AF36,VLOOKUP(AG36,$A$2:$B$1048576,2,FALSE)="DST",AG36,VLOOKUP(AH36,$A$2:$B$1048576,2,FALSE)="DST",AH36,VLOOKUP(AI36,$A$2:$B$1048576,2,FALSE)="DST",AI36)</f>
        <v>#N/A</v>
      </c>
    </row>
    <row r="37" spans="1:45" x14ac:dyDescent="0.35">
      <c r="A37" t="s">
        <v>60</v>
      </c>
      <c r="B37" s="11" t="s">
        <v>9</v>
      </c>
      <c r="C37" s="11">
        <v>4800</v>
      </c>
      <c r="D37" s="12">
        <v>11.665394999999998</v>
      </c>
      <c r="E37" s="12">
        <v>11.958361979533121</v>
      </c>
      <c r="F37" s="12">
        <v>22.913201786928965</v>
      </c>
      <c r="H37" s="11">
        <v>0</v>
      </c>
      <c r="I37">
        <f>IF(B37="QB",H37*1,0)</f>
        <v>0</v>
      </c>
      <c r="J37">
        <f>IF(B37="RB",H37*1,0)</f>
        <v>0</v>
      </c>
      <c r="K37">
        <f>IF(B37="WR",H37*1,0)</f>
        <v>0</v>
      </c>
      <c r="L37">
        <f>IF(B37="TE",H37*1,0)</f>
        <v>0</v>
      </c>
      <c r="M37">
        <f>IF(B37="DST",H37*1,0)</f>
        <v>0</v>
      </c>
      <c r="X37" s="11">
        <f t="shared" si="0"/>
        <v>1</v>
      </c>
      <c r="Y37" s="9">
        <v>36</v>
      </c>
      <c r="Z37" s="12">
        <f t="shared" si="1"/>
        <v>0</v>
      </c>
      <c r="AK37" t="e" cm="1">
        <f t="array" ref="AK37">_xlfn.IFS(VLOOKUP(AA37,$A$2:$B$1048576,2,FALSE)="QB",AA37,VLOOKUP(AB37,$A$2:$B$1048576,2,FALSE)="QB",AB37,VLOOKUP(AC37,$A$2:$B$1048576,2,FALSE)="QB",AC37,VLOOKUP(AD37,$A$2:$B$1048576,2,FALSE)="QB",AD37,VLOOKUP(AE37,$A$2:$B$1048576,2,FALSE)="QB",AE37,VLOOKUP(AF37,$A$2:$B$1048576,2,FALSE)="QB",AF37,VLOOKUP(AG37,$A$2:$B$1048576,2,FALSE)="QB",AG37,VLOOKUP(AH37,$A$2:$B$1048576,2,FALSE)="QB",AH37,VLOOKUP(AI37,$A$2:$B$1048576,2,FALSE)="QB",AI37)</f>
        <v>#N/A</v>
      </c>
      <c r="AL37" t="e" cm="1">
        <f t="array" ref="AL37">_xlfn.IFS(VLOOKUP(AA37,$A$2:$B$1048576,2,FALSE)="RB",AA37,VLOOKUP(AB37,$A$2:$B$1048576,2,FALSE)="RB",AB37,VLOOKUP(AC37,$A$2:$B$1048576,2,FALSE)="RB",AC37,VLOOKUP(AD37,$A$2:$B$1048576,2,FALSE)="RB",AD37,VLOOKUP(AE37,$A$2:$B$1048576,2,FALSE)="RB",AE37,VLOOKUP(AF37,$A$2:$B$1048576,2,FALSE)="RB",AF37,VLOOKUP(AG37,$A$2:$B$1048576,2,FALSE)="RB",AG37,VLOOKUP(AH37,$A$2:$B$1048576,2,FALSE)="RB",AH37,VLOOKUP(AI37,$A$2:$B$1048576,2,FALSE)="RB",AI37)</f>
        <v>#N/A</v>
      </c>
      <c r="AM37" t="e">
        <f t="shared" si="2"/>
        <v>#N/A</v>
      </c>
      <c r="AN37" t="e" cm="1">
        <f t="array" ref="AN37">_xlfn.IFS(VLOOKUP(AA37,$A$2:$B$1048576,2,FALSE)="WR",AA37,VLOOKUP(AB37,$A$2:$B$1048576,2,FALSE)="WR",AB37,VLOOKUP(AC37,$A$2:$B$1048576,2,FALSE)="WR",AC37,VLOOKUP(AD37,$A$2:$B$1048576,2,FALSE)="WR",AD37,VLOOKUP(AE37,$A$2:$B$1048576,2,FALSE)="WR",AE37,VLOOKUP(AF37,$A$2:$B$1048576,2,FALSE)="WR",AF37,VLOOKUP(AG37,$A$2:$B$1048576,2,FALSE)="WR",AG37,VLOOKUP(AH37,$A$2:$B$1048576,2,FALSE)="WR",AH37,VLOOKUP(AI37,$A$2:$B$1048576,2,FALSE)="WR",AI37)</f>
        <v>#N/A</v>
      </c>
      <c r="AO37" t="e">
        <f t="shared" si="3"/>
        <v>#N/A</v>
      </c>
      <c r="AP37" t="e">
        <f t="shared" si="4"/>
        <v>#N/A</v>
      </c>
      <c r="AQ37" t="e" cm="1">
        <f t="array" ref="AQ37">_xlfn.IFS(VLOOKUP(AA37,$A$2:$B$1048576,2,FALSE)="TE",AA37,VLOOKUP(AB37,$A$2:$B$1048576,2,FALSE)="TE",AB37,VLOOKUP(AC37,$A$2:$B$1048576,2,FALSE)="TE",AC37,VLOOKUP(AD37,$A$2:$B$1048576,2,FALSE)="TE",AD37,VLOOKUP(AE37,$A$2:$B$1048576,2,FALSE)="TE",AE37,VLOOKUP(AF37,$A$2:$B$1048576,2,FALSE)="TE",AF37,VLOOKUP(AG37,$A$2:$B$1048576,2,FALSE)="TE",AG37,VLOOKUP(AH37,$A$2:$B$1048576,2,FALSE)="TE",AH37,VLOOKUP(AI37,$A$2:$B$1048576,2,FALSE)="TE",AI37)</f>
        <v>#N/A</v>
      </c>
      <c r="AR37" t="e" cm="1">
        <f t="array" ref="AR37">_xlfn.IFS(IF(OR(AA37=AK37,AA37=AL37,AA37=AM37,AA37=AN37,AA37=AO37,AA37=AP37,AA37=AQ37,AA37=AS37),1,0)=0,AA37,IF(OR(AB37=AK37,AB37=AL37,AB37=AM37,AB37=AN37,AB37=AO37,AB37=AP37,AB37=AQ37,AB37=AS37),1,0)=0,AB37,IF(OR(AC37=AK37,AC37=AL37,AC37=AM37,AC37=AN37,AC37=AO37,AC37=AP37,AC37=AQ37,AC37=AS37),1,0)=0,AC37,IF(OR(AD37=AK37,AD37=AL37,AD37=AM37,AD37=AN37,AD37=AO37,AD37=AP37,AD37=AQ37,AD37=AS37),1,0)=0,AD37,IF(OR(AE37=AK37,AE37=AL37,AE37=AM37,AE37=AN37,AE37=AO37,AE37=AP37,AE37=AQ37,AE37=AS37),1,0)=0,AE37,IF(OR(AF37=AK37,AF37=AL37,AF37=AM37,AF37=AN37,AF37=AO37,AF37=AP37,AF37=AQ37,AF37=AS37),1,0)=0,AF37,IF(OR(AG37=AK37,AG37=AL37,AG37=AM37,AG37=AN37,AG37=AO37,AG37=AP37,AG37=AQ37,AG37=AS37),1,0)=0,AG37,IF(OR(AH37=AK37,AH37=AL37,AH37=AM37,AH37=AN37,AH37=AO37,AH37=AP37,AH37=AQ37,AH37=AS37),1,0)=0,AH37,IF(OR(AI37=AK37,AI37=AL37,AI37=AM37,AI37=AN37,AI37=AO37,AI37=AP37,AI37=AQ37,AI37=AS37),1,0)=0,AI37)</f>
        <v>#N/A</v>
      </c>
      <c r="AS37" t="e" cm="1">
        <f t="array" ref="AS37">_xlfn.IFS(VLOOKUP(AA37,$A$2:$B$1048576,2,FALSE)="DST",AA37,VLOOKUP(AB37,$A$2:$B$1048576,2,FALSE)="DST",AB37,VLOOKUP(AC37,$A$2:$B$1048576,2,FALSE)="DST",AC37,VLOOKUP(AD37,$A$2:$B$1048576,2,FALSE)="DST",AD37,VLOOKUP(AE37,$A$2:$B$1048576,2,FALSE)="DST",AE37,VLOOKUP(AF37,$A$2:$B$1048576,2,FALSE)="DST",AF37,VLOOKUP(AG37,$A$2:$B$1048576,2,FALSE)="DST",AG37,VLOOKUP(AH37,$A$2:$B$1048576,2,FALSE)="DST",AH37,VLOOKUP(AI37,$A$2:$B$1048576,2,FALSE)="DST",AI37)</f>
        <v>#N/A</v>
      </c>
    </row>
    <row r="38" spans="1:45" x14ac:dyDescent="0.35">
      <c r="A38" t="s">
        <v>61</v>
      </c>
      <c r="B38" s="11" t="s">
        <v>9</v>
      </c>
      <c r="C38" s="11">
        <v>5100</v>
      </c>
      <c r="D38" s="12">
        <v>11.502172777777776</v>
      </c>
      <c r="E38" s="12">
        <v>11.50244252756919</v>
      </c>
      <c r="F38" s="12">
        <v>22.392386127216831</v>
      </c>
      <c r="H38" s="11">
        <v>0</v>
      </c>
      <c r="I38">
        <f>IF(B38="QB",H38*1,0)</f>
        <v>0</v>
      </c>
      <c r="J38">
        <f>IF(B38="RB",H38*1,0)</f>
        <v>0</v>
      </c>
      <c r="K38">
        <f>IF(B38="WR",H38*1,0)</f>
        <v>0</v>
      </c>
      <c r="L38">
        <f>IF(B38="TE",H38*1,0)</f>
        <v>0</v>
      </c>
      <c r="M38">
        <f>IF(B38="DST",H38*1,0)</f>
        <v>0</v>
      </c>
      <c r="X38" s="11">
        <f t="shared" si="0"/>
        <v>1</v>
      </c>
      <c r="Y38" s="9">
        <v>37</v>
      </c>
      <c r="Z38" s="12">
        <f t="shared" si="1"/>
        <v>0</v>
      </c>
      <c r="AK38" t="e" cm="1">
        <f t="array" ref="AK38">_xlfn.IFS(VLOOKUP(AA38,$A$2:$B$1048576,2,FALSE)="QB",AA38,VLOOKUP(AB38,$A$2:$B$1048576,2,FALSE)="QB",AB38,VLOOKUP(AC38,$A$2:$B$1048576,2,FALSE)="QB",AC38,VLOOKUP(AD38,$A$2:$B$1048576,2,FALSE)="QB",AD38,VLOOKUP(AE38,$A$2:$B$1048576,2,FALSE)="QB",AE38,VLOOKUP(AF38,$A$2:$B$1048576,2,FALSE)="QB",AF38,VLOOKUP(AG38,$A$2:$B$1048576,2,FALSE)="QB",AG38,VLOOKUP(AH38,$A$2:$B$1048576,2,FALSE)="QB",AH38,VLOOKUP(AI38,$A$2:$B$1048576,2,FALSE)="QB",AI38)</f>
        <v>#N/A</v>
      </c>
      <c r="AL38" t="e" cm="1">
        <f t="array" ref="AL38">_xlfn.IFS(VLOOKUP(AA38,$A$2:$B$1048576,2,FALSE)="RB",AA38,VLOOKUP(AB38,$A$2:$B$1048576,2,FALSE)="RB",AB38,VLOOKUP(AC38,$A$2:$B$1048576,2,FALSE)="RB",AC38,VLOOKUP(AD38,$A$2:$B$1048576,2,FALSE)="RB",AD38,VLOOKUP(AE38,$A$2:$B$1048576,2,FALSE)="RB",AE38,VLOOKUP(AF38,$A$2:$B$1048576,2,FALSE)="RB",AF38,VLOOKUP(AG38,$A$2:$B$1048576,2,FALSE)="RB",AG38,VLOOKUP(AH38,$A$2:$B$1048576,2,FALSE)="RB",AH38,VLOOKUP(AI38,$A$2:$B$1048576,2,FALSE)="RB",AI38)</f>
        <v>#N/A</v>
      </c>
      <c r="AM38" t="e">
        <f t="shared" si="2"/>
        <v>#N/A</v>
      </c>
      <c r="AN38" t="e" cm="1">
        <f t="array" ref="AN38">_xlfn.IFS(VLOOKUP(AA38,$A$2:$B$1048576,2,FALSE)="WR",AA38,VLOOKUP(AB38,$A$2:$B$1048576,2,FALSE)="WR",AB38,VLOOKUP(AC38,$A$2:$B$1048576,2,FALSE)="WR",AC38,VLOOKUP(AD38,$A$2:$B$1048576,2,FALSE)="WR",AD38,VLOOKUP(AE38,$A$2:$B$1048576,2,FALSE)="WR",AE38,VLOOKUP(AF38,$A$2:$B$1048576,2,FALSE)="WR",AF38,VLOOKUP(AG38,$A$2:$B$1048576,2,FALSE)="WR",AG38,VLOOKUP(AH38,$A$2:$B$1048576,2,FALSE)="WR",AH38,VLOOKUP(AI38,$A$2:$B$1048576,2,FALSE)="WR",AI38)</f>
        <v>#N/A</v>
      </c>
      <c r="AO38" t="e">
        <f t="shared" si="3"/>
        <v>#N/A</v>
      </c>
      <c r="AP38" t="e">
        <f t="shared" si="4"/>
        <v>#N/A</v>
      </c>
      <c r="AQ38" t="e" cm="1">
        <f t="array" ref="AQ38">_xlfn.IFS(VLOOKUP(AA38,$A$2:$B$1048576,2,FALSE)="TE",AA38,VLOOKUP(AB38,$A$2:$B$1048576,2,FALSE)="TE",AB38,VLOOKUP(AC38,$A$2:$B$1048576,2,FALSE)="TE",AC38,VLOOKUP(AD38,$A$2:$B$1048576,2,FALSE)="TE",AD38,VLOOKUP(AE38,$A$2:$B$1048576,2,FALSE)="TE",AE38,VLOOKUP(AF38,$A$2:$B$1048576,2,FALSE)="TE",AF38,VLOOKUP(AG38,$A$2:$B$1048576,2,FALSE)="TE",AG38,VLOOKUP(AH38,$A$2:$B$1048576,2,FALSE)="TE",AH38,VLOOKUP(AI38,$A$2:$B$1048576,2,FALSE)="TE",AI38)</f>
        <v>#N/A</v>
      </c>
      <c r="AR38" t="e" cm="1">
        <f t="array" ref="AR38">_xlfn.IFS(IF(OR(AA38=AK38,AA38=AL38,AA38=AM38,AA38=AN38,AA38=AO38,AA38=AP38,AA38=AQ38,AA38=AS38),1,0)=0,AA38,IF(OR(AB38=AK38,AB38=AL38,AB38=AM38,AB38=AN38,AB38=AO38,AB38=AP38,AB38=AQ38,AB38=AS38),1,0)=0,AB38,IF(OR(AC38=AK38,AC38=AL38,AC38=AM38,AC38=AN38,AC38=AO38,AC38=AP38,AC38=AQ38,AC38=AS38),1,0)=0,AC38,IF(OR(AD38=AK38,AD38=AL38,AD38=AM38,AD38=AN38,AD38=AO38,AD38=AP38,AD38=AQ38,AD38=AS38),1,0)=0,AD38,IF(OR(AE38=AK38,AE38=AL38,AE38=AM38,AE38=AN38,AE38=AO38,AE38=AP38,AE38=AQ38,AE38=AS38),1,0)=0,AE38,IF(OR(AF38=AK38,AF38=AL38,AF38=AM38,AF38=AN38,AF38=AO38,AF38=AP38,AF38=AQ38,AF38=AS38),1,0)=0,AF38,IF(OR(AG38=AK38,AG38=AL38,AG38=AM38,AG38=AN38,AG38=AO38,AG38=AP38,AG38=AQ38,AG38=AS38),1,0)=0,AG38,IF(OR(AH38=AK38,AH38=AL38,AH38=AM38,AH38=AN38,AH38=AO38,AH38=AP38,AH38=AQ38,AH38=AS38),1,0)=0,AH38,IF(OR(AI38=AK38,AI38=AL38,AI38=AM38,AI38=AN38,AI38=AO38,AI38=AP38,AI38=AQ38,AI38=AS38),1,0)=0,AI38)</f>
        <v>#N/A</v>
      </c>
      <c r="AS38" t="e" cm="1">
        <f t="array" ref="AS38">_xlfn.IFS(VLOOKUP(AA38,$A$2:$B$1048576,2,FALSE)="DST",AA38,VLOOKUP(AB38,$A$2:$B$1048576,2,FALSE)="DST",AB38,VLOOKUP(AC38,$A$2:$B$1048576,2,FALSE)="DST",AC38,VLOOKUP(AD38,$A$2:$B$1048576,2,FALSE)="DST",AD38,VLOOKUP(AE38,$A$2:$B$1048576,2,FALSE)="DST",AE38,VLOOKUP(AF38,$A$2:$B$1048576,2,FALSE)="DST",AF38,VLOOKUP(AG38,$A$2:$B$1048576,2,FALSE)="DST",AG38,VLOOKUP(AH38,$A$2:$B$1048576,2,FALSE)="DST",AH38,VLOOKUP(AI38,$A$2:$B$1048576,2,FALSE)="DST",AI38)</f>
        <v>#N/A</v>
      </c>
    </row>
    <row r="39" spans="1:45" x14ac:dyDescent="0.35">
      <c r="A39" t="s">
        <v>62</v>
      </c>
      <c r="B39" s="11" t="s">
        <v>9</v>
      </c>
      <c r="C39" s="11">
        <v>4700</v>
      </c>
      <c r="D39" s="12">
        <v>11.32350611111111</v>
      </c>
      <c r="E39" s="12">
        <v>11.346099182206562</v>
      </c>
      <c r="F39" s="12">
        <v>21.887912168621682</v>
      </c>
      <c r="H39" s="11">
        <v>0</v>
      </c>
      <c r="I39">
        <f>IF(B39="QB",H39*1,0)</f>
        <v>0</v>
      </c>
      <c r="J39">
        <f>IF(B39="RB",H39*1,0)</f>
        <v>0</v>
      </c>
      <c r="K39">
        <f>IF(B39="WR",H39*1,0)</f>
        <v>0</v>
      </c>
      <c r="L39">
        <f>IF(B39="TE",H39*1,0)</f>
        <v>0</v>
      </c>
      <c r="M39">
        <f>IF(B39="DST",H39*1,0)</f>
        <v>0</v>
      </c>
      <c r="X39" s="11">
        <f t="shared" si="0"/>
        <v>1</v>
      </c>
      <c r="Y39" s="9">
        <v>38</v>
      </c>
      <c r="Z39" s="12">
        <f t="shared" si="1"/>
        <v>0</v>
      </c>
      <c r="AK39" t="e" cm="1">
        <f t="array" ref="AK39">_xlfn.IFS(VLOOKUP(AA39,$A$2:$B$1048576,2,FALSE)="QB",AA39,VLOOKUP(AB39,$A$2:$B$1048576,2,FALSE)="QB",AB39,VLOOKUP(AC39,$A$2:$B$1048576,2,FALSE)="QB",AC39,VLOOKUP(AD39,$A$2:$B$1048576,2,FALSE)="QB",AD39,VLOOKUP(AE39,$A$2:$B$1048576,2,FALSE)="QB",AE39,VLOOKUP(AF39,$A$2:$B$1048576,2,FALSE)="QB",AF39,VLOOKUP(AG39,$A$2:$B$1048576,2,FALSE)="QB",AG39,VLOOKUP(AH39,$A$2:$B$1048576,2,FALSE)="QB",AH39,VLOOKUP(AI39,$A$2:$B$1048576,2,FALSE)="QB",AI39)</f>
        <v>#N/A</v>
      </c>
      <c r="AL39" t="e" cm="1">
        <f t="array" ref="AL39">_xlfn.IFS(VLOOKUP(AA39,$A$2:$B$1048576,2,FALSE)="RB",AA39,VLOOKUP(AB39,$A$2:$B$1048576,2,FALSE)="RB",AB39,VLOOKUP(AC39,$A$2:$B$1048576,2,FALSE)="RB",AC39,VLOOKUP(AD39,$A$2:$B$1048576,2,FALSE)="RB",AD39,VLOOKUP(AE39,$A$2:$B$1048576,2,FALSE)="RB",AE39,VLOOKUP(AF39,$A$2:$B$1048576,2,FALSE)="RB",AF39,VLOOKUP(AG39,$A$2:$B$1048576,2,FALSE)="RB",AG39,VLOOKUP(AH39,$A$2:$B$1048576,2,FALSE)="RB",AH39,VLOOKUP(AI39,$A$2:$B$1048576,2,FALSE)="RB",AI39)</f>
        <v>#N/A</v>
      </c>
      <c r="AM39" t="e">
        <f t="shared" si="2"/>
        <v>#N/A</v>
      </c>
      <c r="AN39" t="e" cm="1">
        <f t="array" ref="AN39">_xlfn.IFS(VLOOKUP(AA39,$A$2:$B$1048576,2,FALSE)="WR",AA39,VLOOKUP(AB39,$A$2:$B$1048576,2,FALSE)="WR",AB39,VLOOKUP(AC39,$A$2:$B$1048576,2,FALSE)="WR",AC39,VLOOKUP(AD39,$A$2:$B$1048576,2,FALSE)="WR",AD39,VLOOKUP(AE39,$A$2:$B$1048576,2,FALSE)="WR",AE39,VLOOKUP(AF39,$A$2:$B$1048576,2,FALSE)="WR",AF39,VLOOKUP(AG39,$A$2:$B$1048576,2,FALSE)="WR",AG39,VLOOKUP(AH39,$A$2:$B$1048576,2,FALSE)="WR",AH39,VLOOKUP(AI39,$A$2:$B$1048576,2,FALSE)="WR",AI39)</f>
        <v>#N/A</v>
      </c>
      <c r="AO39" t="e">
        <f t="shared" si="3"/>
        <v>#N/A</v>
      </c>
      <c r="AP39" t="e">
        <f t="shared" si="4"/>
        <v>#N/A</v>
      </c>
      <c r="AQ39" t="e" cm="1">
        <f t="array" ref="AQ39">_xlfn.IFS(VLOOKUP(AA39,$A$2:$B$1048576,2,FALSE)="TE",AA39,VLOOKUP(AB39,$A$2:$B$1048576,2,FALSE)="TE",AB39,VLOOKUP(AC39,$A$2:$B$1048576,2,FALSE)="TE",AC39,VLOOKUP(AD39,$A$2:$B$1048576,2,FALSE)="TE",AD39,VLOOKUP(AE39,$A$2:$B$1048576,2,FALSE)="TE",AE39,VLOOKUP(AF39,$A$2:$B$1048576,2,FALSE)="TE",AF39,VLOOKUP(AG39,$A$2:$B$1048576,2,FALSE)="TE",AG39,VLOOKUP(AH39,$A$2:$B$1048576,2,FALSE)="TE",AH39,VLOOKUP(AI39,$A$2:$B$1048576,2,FALSE)="TE",AI39)</f>
        <v>#N/A</v>
      </c>
      <c r="AR39" t="e" cm="1">
        <f t="array" ref="AR39">_xlfn.IFS(IF(OR(AA39=AK39,AA39=AL39,AA39=AM39,AA39=AN39,AA39=AO39,AA39=AP39,AA39=AQ39,AA39=AS39),1,0)=0,AA39,IF(OR(AB39=AK39,AB39=AL39,AB39=AM39,AB39=AN39,AB39=AO39,AB39=AP39,AB39=AQ39,AB39=AS39),1,0)=0,AB39,IF(OR(AC39=AK39,AC39=AL39,AC39=AM39,AC39=AN39,AC39=AO39,AC39=AP39,AC39=AQ39,AC39=AS39),1,0)=0,AC39,IF(OR(AD39=AK39,AD39=AL39,AD39=AM39,AD39=AN39,AD39=AO39,AD39=AP39,AD39=AQ39,AD39=AS39),1,0)=0,AD39,IF(OR(AE39=AK39,AE39=AL39,AE39=AM39,AE39=AN39,AE39=AO39,AE39=AP39,AE39=AQ39,AE39=AS39),1,0)=0,AE39,IF(OR(AF39=AK39,AF39=AL39,AF39=AM39,AF39=AN39,AF39=AO39,AF39=AP39,AF39=AQ39,AF39=AS39),1,0)=0,AF39,IF(OR(AG39=AK39,AG39=AL39,AG39=AM39,AG39=AN39,AG39=AO39,AG39=AP39,AG39=AQ39,AG39=AS39),1,0)=0,AG39,IF(OR(AH39=AK39,AH39=AL39,AH39=AM39,AH39=AN39,AH39=AO39,AH39=AP39,AH39=AQ39,AH39=AS39),1,0)=0,AH39,IF(OR(AI39=AK39,AI39=AL39,AI39=AM39,AI39=AN39,AI39=AO39,AI39=AP39,AI39=AQ39,AI39=AS39),1,0)=0,AI39)</f>
        <v>#N/A</v>
      </c>
      <c r="AS39" t="e" cm="1">
        <f t="array" ref="AS39">_xlfn.IFS(VLOOKUP(AA39,$A$2:$B$1048576,2,FALSE)="DST",AA39,VLOOKUP(AB39,$A$2:$B$1048576,2,FALSE)="DST",AB39,VLOOKUP(AC39,$A$2:$B$1048576,2,FALSE)="DST",AC39,VLOOKUP(AD39,$A$2:$B$1048576,2,FALSE)="DST",AD39,VLOOKUP(AE39,$A$2:$B$1048576,2,FALSE)="DST",AE39,VLOOKUP(AF39,$A$2:$B$1048576,2,FALSE)="DST",AF39,VLOOKUP(AG39,$A$2:$B$1048576,2,FALSE)="DST",AG39,VLOOKUP(AH39,$A$2:$B$1048576,2,FALSE)="DST",AH39,VLOOKUP(AI39,$A$2:$B$1048576,2,FALSE)="DST",AI39)</f>
        <v>#N/A</v>
      </c>
    </row>
    <row r="40" spans="1:45" x14ac:dyDescent="0.35">
      <c r="A40" t="s">
        <v>63</v>
      </c>
      <c r="B40" s="11" t="s">
        <v>9</v>
      </c>
      <c r="C40" s="11">
        <v>6000</v>
      </c>
      <c r="D40" s="12">
        <v>11.241672777777776</v>
      </c>
      <c r="E40" s="12">
        <v>11.911478552894867</v>
      </c>
      <c r="F40" s="12">
        <v>21.545967755099198</v>
      </c>
      <c r="H40" s="11">
        <v>0</v>
      </c>
      <c r="I40">
        <f>IF(B40="QB",H40*1,0)</f>
        <v>0</v>
      </c>
      <c r="J40">
        <f>IF(B40="RB",H40*1,0)</f>
        <v>0</v>
      </c>
      <c r="K40">
        <f>IF(B40="WR",H40*1,0)</f>
        <v>0</v>
      </c>
      <c r="L40">
        <f>IF(B40="TE",H40*1,0)</f>
        <v>0</v>
      </c>
      <c r="M40">
        <f>IF(B40="DST",H40*1,0)</f>
        <v>0</v>
      </c>
      <c r="X40" s="11">
        <f t="shared" si="0"/>
        <v>1</v>
      </c>
      <c r="Y40" s="9">
        <v>39</v>
      </c>
      <c r="Z40" s="12">
        <f t="shared" si="1"/>
        <v>0</v>
      </c>
      <c r="AK40" t="e" cm="1">
        <f t="array" ref="AK40">_xlfn.IFS(VLOOKUP(AA40,$A$2:$B$1048576,2,FALSE)="QB",AA40,VLOOKUP(AB40,$A$2:$B$1048576,2,FALSE)="QB",AB40,VLOOKUP(AC40,$A$2:$B$1048576,2,FALSE)="QB",AC40,VLOOKUP(AD40,$A$2:$B$1048576,2,FALSE)="QB",AD40,VLOOKUP(AE40,$A$2:$B$1048576,2,FALSE)="QB",AE40,VLOOKUP(AF40,$A$2:$B$1048576,2,FALSE)="QB",AF40,VLOOKUP(AG40,$A$2:$B$1048576,2,FALSE)="QB",AG40,VLOOKUP(AH40,$A$2:$B$1048576,2,FALSE)="QB",AH40,VLOOKUP(AI40,$A$2:$B$1048576,2,FALSE)="QB",AI40)</f>
        <v>#N/A</v>
      </c>
      <c r="AL40" t="e" cm="1">
        <f t="array" ref="AL40">_xlfn.IFS(VLOOKUP(AA40,$A$2:$B$1048576,2,FALSE)="RB",AA40,VLOOKUP(AB40,$A$2:$B$1048576,2,FALSE)="RB",AB40,VLOOKUP(AC40,$A$2:$B$1048576,2,FALSE)="RB",AC40,VLOOKUP(AD40,$A$2:$B$1048576,2,FALSE)="RB",AD40,VLOOKUP(AE40,$A$2:$B$1048576,2,FALSE)="RB",AE40,VLOOKUP(AF40,$A$2:$B$1048576,2,FALSE)="RB",AF40,VLOOKUP(AG40,$A$2:$B$1048576,2,FALSE)="RB",AG40,VLOOKUP(AH40,$A$2:$B$1048576,2,FALSE)="RB",AH40,VLOOKUP(AI40,$A$2:$B$1048576,2,FALSE)="RB",AI40)</f>
        <v>#N/A</v>
      </c>
      <c r="AM40" t="e">
        <f t="shared" si="2"/>
        <v>#N/A</v>
      </c>
      <c r="AN40" t="e" cm="1">
        <f t="array" ref="AN40">_xlfn.IFS(VLOOKUP(AA40,$A$2:$B$1048576,2,FALSE)="WR",AA40,VLOOKUP(AB40,$A$2:$B$1048576,2,FALSE)="WR",AB40,VLOOKUP(AC40,$A$2:$B$1048576,2,FALSE)="WR",AC40,VLOOKUP(AD40,$A$2:$B$1048576,2,FALSE)="WR",AD40,VLOOKUP(AE40,$A$2:$B$1048576,2,FALSE)="WR",AE40,VLOOKUP(AF40,$A$2:$B$1048576,2,FALSE)="WR",AF40,VLOOKUP(AG40,$A$2:$B$1048576,2,FALSE)="WR",AG40,VLOOKUP(AH40,$A$2:$B$1048576,2,FALSE)="WR",AH40,VLOOKUP(AI40,$A$2:$B$1048576,2,FALSE)="WR",AI40)</f>
        <v>#N/A</v>
      </c>
      <c r="AO40" t="e">
        <f t="shared" si="3"/>
        <v>#N/A</v>
      </c>
      <c r="AP40" t="e">
        <f t="shared" si="4"/>
        <v>#N/A</v>
      </c>
      <c r="AQ40" t="e" cm="1">
        <f t="array" ref="AQ40">_xlfn.IFS(VLOOKUP(AA40,$A$2:$B$1048576,2,FALSE)="TE",AA40,VLOOKUP(AB40,$A$2:$B$1048576,2,FALSE)="TE",AB40,VLOOKUP(AC40,$A$2:$B$1048576,2,FALSE)="TE",AC40,VLOOKUP(AD40,$A$2:$B$1048576,2,FALSE)="TE",AD40,VLOOKUP(AE40,$A$2:$B$1048576,2,FALSE)="TE",AE40,VLOOKUP(AF40,$A$2:$B$1048576,2,FALSE)="TE",AF40,VLOOKUP(AG40,$A$2:$B$1048576,2,FALSE)="TE",AG40,VLOOKUP(AH40,$A$2:$B$1048576,2,FALSE)="TE",AH40,VLOOKUP(AI40,$A$2:$B$1048576,2,FALSE)="TE",AI40)</f>
        <v>#N/A</v>
      </c>
      <c r="AR40" t="e" cm="1">
        <f t="array" ref="AR40">_xlfn.IFS(IF(OR(AA40=AK40,AA40=AL40,AA40=AM40,AA40=AN40,AA40=AO40,AA40=AP40,AA40=AQ40,AA40=AS40),1,0)=0,AA40,IF(OR(AB40=AK40,AB40=AL40,AB40=AM40,AB40=AN40,AB40=AO40,AB40=AP40,AB40=AQ40,AB40=AS40),1,0)=0,AB40,IF(OR(AC40=AK40,AC40=AL40,AC40=AM40,AC40=AN40,AC40=AO40,AC40=AP40,AC40=AQ40,AC40=AS40),1,0)=0,AC40,IF(OR(AD40=AK40,AD40=AL40,AD40=AM40,AD40=AN40,AD40=AO40,AD40=AP40,AD40=AQ40,AD40=AS40),1,0)=0,AD40,IF(OR(AE40=AK40,AE40=AL40,AE40=AM40,AE40=AN40,AE40=AO40,AE40=AP40,AE40=AQ40,AE40=AS40),1,0)=0,AE40,IF(OR(AF40=AK40,AF40=AL40,AF40=AM40,AF40=AN40,AF40=AO40,AF40=AP40,AF40=AQ40,AF40=AS40),1,0)=0,AF40,IF(OR(AG40=AK40,AG40=AL40,AG40=AM40,AG40=AN40,AG40=AO40,AG40=AP40,AG40=AQ40,AG40=AS40),1,0)=0,AG40,IF(OR(AH40=AK40,AH40=AL40,AH40=AM40,AH40=AN40,AH40=AO40,AH40=AP40,AH40=AQ40,AH40=AS40),1,0)=0,AH40,IF(OR(AI40=AK40,AI40=AL40,AI40=AM40,AI40=AN40,AI40=AO40,AI40=AP40,AI40=AQ40,AI40=AS40),1,0)=0,AI40)</f>
        <v>#N/A</v>
      </c>
      <c r="AS40" t="e" cm="1">
        <f t="array" ref="AS40">_xlfn.IFS(VLOOKUP(AA40,$A$2:$B$1048576,2,FALSE)="DST",AA40,VLOOKUP(AB40,$A$2:$B$1048576,2,FALSE)="DST",AB40,VLOOKUP(AC40,$A$2:$B$1048576,2,FALSE)="DST",AC40,VLOOKUP(AD40,$A$2:$B$1048576,2,FALSE)="DST",AD40,VLOOKUP(AE40,$A$2:$B$1048576,2,FALSE)="DST",AE40,VLOOKUP(AF40,$A$2:$B$1048576,2,FALSE)="DST",AF40,VLOOKUP(AG40,$A$2:$B$1048576,2,FALSE)="DST",AG40,VLOOKUP(AH40,$A$2:$B$1048576,2,FALSE)="DST",AH40,VLOOKUP(AI40,$A$2:$B$1048576,2,FALSE)="DST",AI40)</f>
        <v>#N/A</v>
      </c>
    </row>
    <row r="41" spans="1:45" x14ac:dyDescent="0.35">
      <c r="A41" t="s">
        <v>64</v>
      </c>
      <c r="B41" s="11" t="s">
        <v>9</v>
      </c>
      <c r="C41" s="11">
        <v>4700</v>
      </c>
      <c r="D41" s="12">
        <v>11.040589444444443</v>
      </c>
      <c r="E41" s="12">
        <v>11.693658069889691</v>
      </c>
      <c r="F41" s="12">
        <v>21.032252614035556</v>
      </c>
      <c r="H41" s="11">
        <v>0</v>
      </c>
      <c r="I41">
        <f>IF(B41="QB",H41*1,0)</f>
        <v>0</v>
      </c>
      <c r="J41">
        <f>IF(B41="RB",H41*1,0)</f>
        <v>0</v>
      </c>
      <c r="K41">
        <f>IF(B41="WR",H41*1,0)</f>
        <v>0</v>
      </c>
      <c r="L41">
        <f>IF(B41="TE",H41*1,0)</f>
        <v>0</v>
      </c>
      <c r="M41">
        <f>IF(B41="DST",H41*1,0)</f>
        <v>0</v>
      </c>
      <c r="X41" s="11">
        <f t="shared" si="0"/>
        <v>1</v>
      </c>
      <c r="Y41" s="9">
        <v>40</v>
      </c>
      <c r="Z41" s="12">
        <f t="shared" si="1"/>
        <v>0</v>
      </c>
      <c r="AK41" t="e" cm="1">
        <f t="array" ref="AK41">_xlfn.IFS(VLOOKUP(AA41,$A$2:$B$1048576,2,FALSE)="QB",AA41,VLOOKUP(AB41,$A$2:$B$1048576,2,FALSE)="QB",AB41,VLOOKUP(AC41,$A$2:$B$1048576,2,FALSE)="QB",AC41,VLOOKUP(AD41,$A$2:$B$1048576,2,FALSE)="QB",AD41,VLOOKUP(AE41,$A$2:$B$1048576,2,FALSE)="QB",AE41,VLOOKUP(AF41,$A$2:$B$1048576,2,FALSE)="QB",AF41,VLOOKUP(AG41,$A$2:$B$1048576,2,FALSE)="QB",AG41,VLOOKUP(AH41,$A$2:$B$1048576,2,FALSE)="QB",AH41,VLOOKUP(AI41,$A$2:$B$1048576,2,FALSE)="QB",AI41)</f>
        <v>#N/A</v>
      </c>
      <c r="AL41" t="e" cm="1">
        <f t="array" ref="AL41">_xlfn.IFS(VLOOKUP(AA41,$A$2:$B$1048576,2,FALSE)="RB",AA41,VLOOKUP(AB41,$A$2:$B$1048576,2,FALSE)="RB",AB41,VLOOKUP(AC41,$A$2:$B$1048576,2,FALSE)="RB",AC41,VLOOKUP(AD41,$A$2:$B$1048576,2,FALSE)="RB",AD41,VLOOKUP(AE41,$A$2:$B$1048576,2,FALSE)="RB",AE41,VLOOKUP(AF41,$A$2:$B$1048576,2,FALSE)="RB",AF41,VLOOKUP(AG41,$A$2:$B$1048576,2,FALSE)="RB",AG41,VLOOKUP(AH41,$A$2:$B$1048576,2,FALSE)="RB",AH41,VLOOKUP(AI41,$A$2:$B$1048576,2,FALSE)="RB",AI41)</f>
        <v>#N/A</v>
      </c>
      <c r="AM41" t="e">
        <f t="shared" si="2"/>
        <v>#N/A</v>
      </c>
      <c r="AN41" t="e" cm="1">
        <f t="array" ref="AN41">_xlfn.IFS(VLOOKUP(AA41,$A$2:$B$1048576,2,FALSE)="WR",AA41,VLOOKUP(AB41,$A$2:$B$1048576,2,FALSE)="WR",AB41,VLOOKUP(AC41,$A$2:$B$1048576,2,FALSE)="WR",AC41,VLOOKUP(AD41,$A$2:$B$1048576,2,FALSE)="WR",AD41,VLOOKUP(AE41,$A$2:$B$1048576,2,FALSE)="WR",AE41,VLOOKUP(AF41,$A$2:$B$1048576,2,FALSE)="WR",AF41,VLOOKUP(AG41,$A$2:$B$1048576,2,FALSE)="WR",AG41,VLOOKUP(AH41,$A$2:$B$1048576,2,FALSE)="WR",AH41,VLOOKUP(AI41,$A$2:$B$1048576,2,FALSE)="WR",AI41)</f>
        <v>#N/A</v>
      </c>
      <c r="AO41" t="e">
        <f t="shared" si="3"/>
        <v>#N/A</v>
      </c>
      <c r="AP41" t="e">
        <f t="shared" si="4"/>
        <v>#N/A</v>
      </c>
      <c r="AQ41" t="e" cm="1">
        <f t="array" ref="AQ41">_xlfn.IFS(VLOOKUP(AA41,$A$2:$B$1048576,2,FALSE)="TE",AA41,VLOOKUP(AB41,$A$2:$B$1048576,2,FALSE)="TE",AB41,VLOOKUP(AC41,$A$2:$B$1048576,2,FALSE)="TE",AC41,VLOOKUP(AD41,$A$2:$B$1048576,2,FALSE)="TE",AD41,VLOOKUP(AE41,$A$2:$B$1048576,2,FALSE)="TE",AE41,VLOOKUP(AF41,$A$2:$B$1048576,2,FALSE)="TE",AF41,VLOOKUP(AG41,$A$2:$B$1048576,2,FALSE)="TE",AG41,VLOOKUP(AH41,$A$2:$B$1048576,2,FALSE)="TE",AH41,VLOOKUP(AI41,$A$2:$B$1048576,2,FALSE)="TE",AI41)</f>
        <v>#N/A</v>
      </c>
      <c r="AR41" t="e" cm="1">
        <f t="array" ref="AR41">_xlfn.IFS(IF(OR(AA41=AK41,AA41=AL41,AA41=AM41,AA41=AN41,AA41=AO41,AA41=AP41,AA41=AQ41,AA41=AS41),1,0)=0,AA41,IF(OR(AB41=AK41,AB41=AL41,AB41=AM41,AB41=AN41,AB41=AO41,AB41=AP41,AB41=AQ41,AB41=AS41),1,0)=0,AB41,IF(OR(AC41=AK41,AC41=AL41,AC41=AM41,AC41=AN41,AC41=AO41,AC41=AP41,AC41=AQ41,AC41=AS41),1,0)=0,AC41,IF(OR(AD41=AK41,AD41=AL41,AD41=AM41,AD41=AN41,AD41=AO41,AD41=AP41,AD41=AQ41,AD41=AS41),1,0)=0,AD41,IF(OR(AE41=AK41,AE41=AL41,AE41=AM41,AE41=AN41,AE41=AO41,AE41=AP41,AE41=AQ41,AE41=AS41),1,0)=0,AE41,IF(OR(AF41=AK41,AF41=AL41,AF41=AM41,AF41=AN41,AF41=AO41,AF41=AP41,AF41=AQ41,AF41=AS41),1,0)=0,AF41,IF(OR(AG41=AK41,AG41=AL41,AG41=AM41,AG41=AN41,AG41=AO41,AG41=AP41,AG41=AQ41,AG41=AS41),1,0)=0,AG41,IF(OR(AH41=AK41,AH41=AL41,AH41=AM41,AH41=AN41,AH41=AO41,AH41=AP41,AH41=AQ41,AH41=AS41),1,0)=0,AH41,IF(OR(AI41=AK41,AI41=AL41,AI41=AM41,AI41=AN41,AI41=AO41,AI41=AP41,AI41=AQ41,AI41=AS41),1,0)=0,AI41)</f>
        <v>#N/A</v>
      </c>
      <c r="AS41" t="e" cm="1">
        <f t="array" ref="AS41">_xlfn.IFS(VLOOKUP(AA41,$A$2:$B$1048576,2,FALSE)="DST",AA41,VLOOKUP(AB41,$A$2:$B$1048576,2,FALSE)="DST",AB41,VLOOKUP(AC41,$A$2:$B$1048576,2,FALSE)="DST",AC41,VLOOKUP(AD41,$A$2:$B$1048576,2,FALSE)="DST",AD41,VLOOKUP(AE41,$A$2:$B$1048576,2,FALSE)="DST",AE41,VLOOKUP(AF41,$A$2:$B$1048576,2,FALSE)="DST",AF41,VLOOKUP(AG41,$A$2:$B$1048576,2,FALSE)="DST",AG41,VLOOKUP(AH41,$A$2:$B$1048576,2,FALSE)="DST",AH41,VLOOKUP(AI41,$A$2:$B$1048576,2,FALSE)="DST",AI41)</f>
        <v>#N/A</v>
      </c>
    </row>
    <row r="42" spans="1:45" x14ac:dyDescent="0.35">
      <c r="A42" t="s">
        <v>65</v>
      </c>
      <c r="B42" s="11" t="s">
        <v>9</v>
      </c>
      <c r="C42" s="11">
        <v>4900</v>
      </c>
      <c r="D42" s="12">
        <v>10.944228333333331</v>
      </c>
      <c r="E42" s="12">
        <v>10.96956410071272</v>
      </c>
      <c r="F42" s="12">
        <v>20.724564734992871</v>
      </c>
      <c r="H42" s="11">
        <v>0</v>
      </c>
      <c r="I42">
        <f>IF(B42="QB",H42*1,0)</f>
        <v>0</v>
      </c>
      <c r="J42">
        <f>IF(B42="RB",H42*1,0)</f>
        <v>0</v>
      </c>
      <c r="K42">
        <f>IF(B42="WR",H42*1,0)</f>
        <v>0</v>
      </c>
      <c r="L42">
        <f>IF(B42="TE",H42*1,0)</f>
        <v>0</v>
      </c>
      <c r="M42">
        <f>IF(B42="DST",H42*1,0)</f>
        <v>0</v>
      </c>
      <c r="X42" s="11">
        <f t="shared" si="0"/>
        <v>1</v>
      </c>
      <c r="Y42" s="9">
        <v>41</v>
      </c>
      <c r="Z42" s="12">
        <f t="shared" si="1"/>
        <v>0</v>
      </c>
      <c r="AK42" t="e" cm="1">
        <f t="array" ref="AK42">_xlfn.IFS(VLOOKUP(AA42,$A$2:$B$1048576,2,FALSE)="QB",AA42,VLOOKUP(AB42,$A$2:$B$1048576,2,FALSE)="QB",AB42,VLOOKUP(AC42,$A$2:$B$1048576,2,FALSE)="QB",AC42,VLOOKUP(AD42,$A$2:$B$1048576,2,FALSE)="QB",AD42,VLOOKUP(AE42,$A$2:$B$1048576,2,FALSE)="QB",AE42,VLOOKUP(AF42,$A$2:$B$1048576,2,FALSE)="QB",AF42,VLOOKUP(AG42,$A$2:$B$1048576,2,FALSE)="QB",AG42,VLOOKUP(AH42,$A$2:$B$1048576,2,FALSE)="QB",AH42,VLOOKUP(AI42,$A$2:$B$1048576,2,FALSE)="QB",AI42)</f>
        <v>#N/A</v>
      </c>
      <c r="AL42" t="e" cm="1">
        <f t="array" ref="AL42">_xlfn.IFS(VLOOKUP(AA42,$A$2:$B$1048576,2,FALSE)="RB",AA42,VLOOKUP(AB42,$A$2:$B$1048576,2,FALSE)="RB",AB42,VLOOKUP(AC42,$A$2:$B$1048576,2,FALSE)="RB",AC42,VLOOKUP(AD42,$A$2:$B$1048576,2,FALSE)="RB",AD42,VLOOKUP(AE42,$A$2:$B$1048576,2,FALSE)="RB",AE42,VLOOKUP(AF42,$A$2:$B$1048576,2,FALSE)="RB",AF42,VLOOKUP(AG42,$A$2:$B$1048576,2,FALSE)="RB",AG42,VLOOKUP(AH42,$A$2:$B$1048576,2,FALSE)="RB",AH42,VLOOKUP(AI42,$A$2:$B$1048576,2,FALSE)="RB",AI42)</f>
        <v>#N/A</v>
      </c>
      <c r="AM42" t="e">
        <f t="shared" si="2"/>
        <v>#N/A</v>
      </c>
      <c r="AN42" t="e" cm="1">
        <f t="array" ref="AN42">_xlfn.IFS(VLOOKUP(AA42,$A$2:$B$1048576,2,FALSE)="WR",AA42,VLOOKUP(AB42,$A$2:$B$1048576,2,FALSE)="WR",AB42,VLOOKUP(AC42,$A$2:$B$1048576,2,FALSE)="WR",AC42,VLOOKUP(AD42,$A$2:$B$1048576,2,FALSE)="WR",AD42,VLOOKUP(AE42,$A$2:$B$1048576,2,FALSE)="WR",AE42,VLOOKUP(AF42,$A$2:$B$1048576,2,FALSE)="WR",AF42,VLOOKUP(AG42,$A$2:$B$1048576,2,FALSE)="WR",AG42,VLOOKUP(AH42,$A$2:$B$1048576,2,FALSE)="WR",AH42,VLOOKUP(AI42,$A$2:$B$1048576,2,FALSE)="WR",AI42)</f>
        <v>#N/A</v>
      </c>
      <c r="AO42" t="e">
        <f t="shared" si="3"/>
        <v>#N/A</v>
      </c>
      <c r="AP42" t="e">
        <f t="shared" si="4"/>
        <v>#N/A</v>
      </c>
      <c r="AQ42" t="e" cm="1">
        <f t="array" ref="AQ42">_xlfn.IFS(VLOOKUP(AA42,$A$2:$B$1048576,2,FALSE)="TE",AA42,VLOOKUP(AB42,$A$2:$B$1048576,2,FALSE)="TE",AB42,VLOOKUP(AC42,$A$2:$B$1048576,2,FALSE)="TE",AC42,VLOOKUP(AD42,$A$2:$B$1048576,2,FALSE)="TE",AD42,VLOOKUP(AE42,$A$2:$B$1048576,2,FALSE)="TE",AE42,VLOOKUP(AF42,$A$2:$B$1048576,2,FALSE)="TE",AF42,VLOOKUP(AG42,$A$2:$B$1048576,2,FALSE)="TE",AG42,VLOOKUP(AH42,$A$2:$B$1048576,2,FALSE)="TE",AH42,VLOOKUP(AI42,$A$2:$B$1048576,2,FALSE)="TE",AI42)</f>
        <v>#N/A</v>
      </c>
      <c r="AR42" t="e" cm="1">
        <f t="array" ref="AR42">_xlfn.IFS(IF(OR(AA42=AK42,AA42=AL42,AA42=AM42,AA42=AN42,AA42=AO42,AA42=AP42,AA42=AQ42,AA42=AS42),1,0)=0,AA42,IF(OR(AB42=AK42,AB42=AL42,AB42=AM42,AB42=AN42,AB42=AO42,AB42=AP42,AB42=AQ42,AB42=AS42),1,0)=0,AB42,IF(OR(AC42=AK42,AC42=AL42,AC42=AM42,AC42=AN42,AC42=AO42,AC42=AP42,AC42=AQ42,AC42=AS42),1,0)=0,AC42,IF(OR(AD42=AK42,AD42=AL42,AD42=AM42,AD42=AN42,AD42=AO42,AD42=AP42,AD42=AQ42,AD42=AS42),1,0)=0,AD42,IF(OR(AE42=AK42,AE42=AL42,AE42=AM42,AE42=AN42,AE42=AO42,AE42=AP42,AE42=AQ42,AE42=AS42),1,0)=0,AE42,IF(OR(AF42=AK42,AF42=AL42,AF42=AM42,AF42=AN42,AF42=AO42,AF42=AP42,AF42=AQ42,AF42=AS42),1,0)=0,AF42,IF(OR(AG42=AK42,AG42=AL42,AG42=AM42,AG42=AN42,AG42=AO42,AG42=AP42,AG42=AQ42,AG42=AS42),1,0)=0,AG42,IF(OR(AH42=AK42,AH42=AL42,AH42=AM42,AH42=AN42,AH42=AO42,AH42=AP42,AH42=AQ42,AH42=AS42),1,0)=0,AH42,IF(OR(AI42=AK42,AI42=AL42,AI42=AM42,AI42=AN42,AI42=AO42,AI42=AP42,AI42=AQ42,AI42=AS42),1,0)=0,AI42)</f>
        <v>#N/A</v>
      </c>
      <c r="AS42" t="e" cm="1">
        <f t="array" ref="AS42">_xlfn.IFS(VLOOKUP(AA42,$A$2:$B$1048576,2,FALSE)="DST",AA42,VLOOKUP(AB42,$A$2:$B$1048576,2,FALSE)="DST",AB42,VLOOKUP(AC42,$A$2:$B$1048576,2,FALSE)="DST",AC42,VLOOKUP(AD42,$A$2:$B$1048576,2,FALSE)="DST",AD42,VLOOKUP(AE42,$A$2:$B$1048576,2,FALSE)="DST",AE42,VLOOKUP(AF42,$A$2:$B$1048576,2,FALSE)="DST",AF42,VLOOKUP(AG42,$A$2:$B$1048576,2,FALSE)="DST",AG42,VLOOKUP(AH42,$A$2:$B$1048576,2,FALSE)="DST",AH42,VLOOKUP(AI42,$A$2:$B$1048576,2,FALSE)="DST",AI42)</f>
        <v>#N/A</v>
      </c>
    </row>
    <row r="43" spans="1:45" x14ac:dyDescent="0.35">
      <c r="A43" t="s">
        <v>66</v>
      </c>
      <c r="B43" s="11" t="s">
        <v>9</v>
      </c>
      <c r="C43" s="11">
        <v>4600</v>
      </c>
      <c r="D43" s="12">
        <v>10.812589444444443</v>
      </c>
      <c r="E43" s="12">
        <v>10.996948691205908</v>
      </c>
      <c r="F43" s="12">
        <v>20.35188588225936</v>
      </c>
      <c r="H43" s="11">
        <v>0</v>
      </c>
      <c r="I43">
        <f>IF(B43="QB",H43*1,0)</f>
        <v>0</v>
      </c>
      <c r="J43">
        <f>IF(B43="RB",H43*1,0)</f>
        <v>0</v>
      </c>
      <c r="K43">
        <f>IF(B43="WR",H43*1,0)</f>
        <v>0</v>
      </c>
      <c r="L43">
        <f>IF(B43="TE",H43*1,0)</f>
        <v>0</v>
      </c>
      <c r="M43">
        <f>IF(B43="DST",H43*1,0)</f>
        <v>0</v>
      </c>
      <c r="X43" s="11">
        <f t="shared" si="0"/>
        <v>1</v>
      </c>
      <c r="Y43" s="9">
        <v>42</v>
      </c>
      <c r="Z43" s="12">
        <f t="shared" si="1"/>
        <v>0</v>
      </c>
      <c r="AK43" t="e" cm="1">
        <f t="array" ref="AK43">_xlfn.IFS(VLOOKUP(AA43,$A$2:$B$1048576,2,FALSE)="QB",AA43,VLOOKUP(AB43,$A$2:$B$1048576,2,FALSE)="QB",AB43,VLOOKUP(AC43,$A$2:$B$1048576,2,FALSE)="QB",AC43,VLOOKUP(AD43,$A$2:$B$1048576,2,FALSE)="QB",AD43,VLOOKUP(AE43,$A$2:$B$1048576,2,FALSE)="QB",AE43,VLOOKUP(AF43,$A$2:$B$1048576,2,FALSE)="QB",AF43,VLOOKUP(AG43,$A$2:$B$1048576,2,FALSE)="QB",AG43,VLOOKUP(AH43,$A$2:$B$1048576,2,FALSE)="QB",AH43,VLOOKUP(AI43,$A$2:$B$1048576,2,FALSE)="QB",AI43)</f>
        <v>#N/A</v>
      </c>
      <c r="AL43" t="e" cm="1">
        <f t="array" ref="AL43">_xlfn.IFS(VLOOKUP(AA43,$A$2:$B$1048576,2,FALSE)="RB",AA43,VLOOKUP(AB43,$A$2:$B$1048576,2,FALSE)="RB",AB43,VLOOKUP(AC43,$A$2:$B$1048576,2,FALSE)="RB",AC43,VLOOKUP(AD43,$A$2:$B$1048576,2,FALSE)="RB",AD43,VLOOKUP(AE43,$A$2:$B$1048576,2,FALSE)="RB",AE43,VLOOKUP(AF43,$A$2:$B$1048576,2,FALSE)="RB",AF43,VLOOKUP(AG43,$A$2:$B$1048576,2,FALSE)="RB",AG43,VLOOKUP(AH43,$A$2:$B$1048576,2,FALSE)="RB",AH43,VLOOKUP(AI43,$A$2:$B$1048576,2,FALSE)="RB",AI43)</f>
        <v>#N/A</v>
      </c>
      <c r="AM43" t="e">
        <f t="shared" si="2"/>
        <v>#N/A</v>
      </c>
      <c r="AN43" t="e" cm="1">
        <f t="array" ref="AN43">_xlfn.IFS(VLOOKUP(AA43,$A$2:$B$1048576,2,FALSE)="WR",AA43,VLOOKUP(AB43,$A$2:$B$1048576,2,FALSE)="WR",AB43,VLOOKUP(AC43,$A$2:$B$1048576,2,FALSE)="WR",AC43,VLOOKUP(AD43,$A$2:$B$1048576,2,FALSE)="WR",AD43,VLOOKUP(AE43,$A$2:$B$1048576,2,FALSE)="WR",AE43,VLOOKUP(AF43,$A$2:$B$1048576,2,FALSE)="WR",AF43,VLOOKUP(AG43,$A$2:$B$1048576,2,FALSE)="WR",AG43,VLOOKUP(AH43,$A$2:$B$1048576,2,FALSE)="WR",AH43,VLOOKUP(AI43,$A$2:$B$1048576,2,FALSE)="WR",AI43)</f>
        <v>#N/A</v>
      </c>
      <c r="AO43" t="e">
        <f t="shared" si="3"/>
        <v>#N/A</v>
      </c>
      <c r="AP43" t="e">
        <f t="shared" si="4"/>
        <v>#N/A</v>
      </c>
      <c r="AQ43" t="e" cm="1">
        <f t="array" ref="AQ43">_xlfn.IFS(VLOOKUP(AA43,$A$2:$B$1048576,2,FALSE)="TE",AA43,VLOOKUP(AB43,$A$2:$B$1048576,2,FALSE)="TE",AB43,VLOOKUP(AC43,$A$2:$B$1048576,2,FALSE)="TE",AC43,VLOOKUP(AD43,$A$2:$B$1048576,2,FALSE)="TE",AD43,VLOOKUP(AE43,$A$2:$B$1048576,2,FALSE)="TE",AE43,VLOOKUP(AF43,$A$2:$B$1048576,2,FALSE)="TE",AF43,VLOOKUP(AG43,$A$2:$B$1048576,2,FALSE)="TE",AG43,VLOOKUP(AH43,$A$2:$B$1048576,2,FALSE)="TE",AH43,VLOOKUP(AI43,$A$2:$B$1048576,2,FALSE)="TE",AI43)</f>
        <v>#N/A</v>
      </c>
      <c r="AR43" t="e" cm="1">
        <f t="array" ref="AR43">_xlfn.IFS(IF(OR(AA43=AK43,AA43=AL43,AA43=AM43,AA43=AN43,AA43=AO43,AA43=AP43,AA43=AQ43,AA43=AS43),1,0)=0,AA43,IF(OR(AB43=AK43,AB43=AL43,AB43=AM43,AB43=AN43,AB43=AO43,AB43=AP43,AB43=AQ43,AB43=AS43),1,0)=0,AB43,IF(OR(AC43=AK43,AC43=AL43,AC43=AM43,AC43=AN43,AC43=AO43,AC43=AP43,AC43=AQ43,AC43=AS43),1,0)=0,AC43,IF(OR(AD43=AK43,AD43=AL43,AD43=AM43,AD43=AN43,AD43=AO43,AD43=AP43,AD43=AQ43,AD43=AS43),1,0)=0,AD43,IF(OR(AE43=AK43,AE43=AL43,AE43=AM43,AE43=AN43,AE43=AO43,AE43=AP43,AE43=AQ43,AE43=AS43),1,0)=0,AE43,IF(OR(AF43=AK43,AF43=AL43,AF43=AM43,AF43=AN43,AF43=AO43,AF43=AP43,AF43=AQ43,AF43=AS43),1,0)=0,AF43,IF(OR(AG43=AK43,AG43=AL43,AG43=AM43,AG43=AN43,AG43=AO43,AG43=AP43,AG43=AQ43,AG43=AS43),1,0)=0,AG43,IF(OR(AH43=AK43,AH43=AL43,AH43=AM43,AH43=AN43,AH43=AO43,AH43=AP43,AH43=AQ43,AH43=AS43),1,0)=0,AH43,IF(OR(AI43=AK43,AI43=AL43,AI43=AM43,AI43=AN43,AI43=AO43,AI43=AP43,AI43=AQ43,AI43=AS43),1,0)=0,AI43)</f>
        <v>#N/A</v>
      </c>
      <c r="AS43" t="e" cm="1">
        <f t="array" ref="AS43">_xlfn.IFS(VLOOKUP(AA43,$A$2:$B$1048576,2,FALSE)="DST",AA43,VLOOKUP(AB43,$A$2:$B$1048576,2,FALSE)="DST",AB43,VLOOKUP(AC43,$A$2:$B$1048576,2,FALSE)="DST",AC43,VLOOKUP(AD43,$A$2:$B$1048576,2,FALSE)="DST",AD43,VLOOKUP(AE43,$A$2:$B$1048576,2,FALSE)="DST",AE43,VLOOKUP(AF43,$A$2:$B$1048576,2,FALSE)="DST",AF43,VLOOKUP(AG43,$A$2:$B$1048576,2,FALSE)="DST",AG43,VLOOKUP(AH43,$A$2:$B$1048576,2,FALSE)="DST",AH43,VLOOKUP(AI43,$A$2:$B$1048576,2,FALSE)="DST",AI43)</f>
        <v>#N/A</v>
      </c>
    </row>
    <row r="44" spans="1:45" x14ac:dyDescent="0.35">
      <c r="A44" t="s">
        <v>67</v>
      </c>
      <c r="B44" s="11" t="s">
        <v>9</v>
      </c>
      <c r="C44" s="11">
        <v>5000</v>
      </c>
      <c r="D44" s="12">
        <v>10.687228333333332</v>
      </c>
      <c r="E44" s="12">
        <v>11.001865278924392</v>
      </c>
      <c r="F44" s="12">
        <v>19.942303434284678</v>
      </c>
      <c r="H44" s="11">
        <v>0</v>
      </c>
      <c r="I44">
        <f>IF(B44="QB",H44*1,0)</f>
        <v>0</v>
      </c>
      <c r="J44">
        <f>IF(B44="RB",H44*1,0)</f>
        <v>0</v>
      </c>
      <c r="K44">
        <f>IF(B44="WR",H44*1,0)</f>
        <v>0</v>
      </c>
      <c r="L44">
        <f>IF(B44="TE",H44*1,0)</f>
        <v>0</v>
      </c>
      <c r="M44">
        <f>IF(B44="DST",H44*1,0)</f>
        <v>0</v>
      </c>
      <c r="X44" s="11">
        <f t="shared" si="0"/>
        <v>1</v>
      </c>
      <c r="Y44" s="9">
        <v>43</v>
      </c>
      <c r="Z44" s="12">
        <f t="shared" si="1"/>
        <v>0</v>
      </c>
      <c r="AK44" t="e" cm="1">
        <f t="array" ref="AK44">_xlfn.IFS(VLOOKUP(AA44,$A$2:$B$1048576,2,FALSE)="QB",AA44,VLOOKUP(AB44,$A$2:$B$1048576,2,FALSE)="QB",AB44,VLOOKUP(AC44,$A$2:$B$1048576,2,FALSE)="QB",AC44,VLOOKUP(AD44,$A$2:$B$1048576,2,FALSE)="QB",AD44,VLOOKUP(AE44,$A$2:$B$1048576,2,FALSE)="QB",AE44,VLOOKUP(AF44,$A$2:$B$1048576,2,FALSE)="QB",AF44,VLOOKUP(AG44,$A$2:$B$1048576,2,FALSE)="QB",AG44,VLOOKUP(AH44,$A$2:$B$1048576,2,FALSE)="QB",AH44,VLOOKUP(AI44,$A$2:$B$1048576,2,FALSE)="QB",AI44)</f>
        <v>#N/A</v>
      </c>
      <c r="AL44" t="e" cm="1">
        <f t="array" ref="AL44">_xlfn.IFS(VLOOKUP(AA44,$A$2:$B$1048576,2,FALSE)="RB",AA44,VLOOKUP(AB44,$A$2:$B$1048576,2,FALSE)="RB",AB44,VLOOKUP(AC44,$A$2:$B$1048576,2,FALSE)="RB",AC44,VLOOKUP(AD44,$A$2:$B$1048576,2,FALSE)="RB",AD44,VLOOKUP(AE44,$A$2:$B$1048576,2,FALSE)="RB",AE44,VLOOKUP(AF44,$A$2:$B$1048576,2,FALSE)="RB",AF44,VLOOKUP(AG44,$A$2:$B$1048576,2,FALSE)="RB",AG44,VLOOKUP(AH44,$A$2:$B$1048576,2,FALSE)="RB",AH44,VLOOKUP(AI44,$A$2:$B$1048576,2,FALSE)="RB",AI44)</f>
        <v>#N/A</v>
      </c>
      <c r="AM44" t="e">
        <f t="shared" si="2"/>
        <v>#N/A</v>
      </c>
      <c r="AN44" t="e" cm="1">
        <f t="array" ref="AN44">_xlfn.IFS(VLOOKUP(AA44,$A$2:$B$1048576,2,FALSE)="WR",AA44,VLOOKUP(AB44,$A$2:$B$1048576,2,FALSE)="WR",AB44,VLOOKUP(AC44,$A$2:$B$1048576,2,FALSE)="WR",AC44,VLOOKUP(AD44,$A$2:$B$1048576,2,FALSE)="WR",AD44,VLOOKUP(AE44,$A$2:$B$1048576,2,FALSE)="WR",AE44,VLOOKUP(AF44,$A$2:$B$1048576,2,FALSE)="WR",AF44,VLOOKUP(AG44,$A$2:$B$1048576,2,FALSE)="WR",AG44,VLOOKUP(AH44,$A$2:$B$1048576,2,FALSE)="WR",AH44,VLOOKUP(AI44,$A$2:$B$1048576,2,FALSE)="WR",AI44)</f>
        <v>#N/A</v>
      </c>
      <c r="AO44" t="e">
        <f t="shared" si="3"/>
        <v>#N/A</v>
      </c>
      <c r="AP44" t="e">
        <f t="shared" si="4"/>
        <v>#N/A</v>
      </c>
      <c r="AQ44" t="e" cm="1">
        <f t="array" ref="AQ44">_xlfn.IFS(VLOOKUP(AA44,$A$2:$B$1048576,2,FALSE)="TE",AA44,VLOOKUP(AB44,$A$2:$B$1048576,2,FALSE)="TE",AB44,VLOOKUP(AC44,$A$2:$B$1048576,2,FALSE)="TE",AC44,VLOOKUP(AD44,$A$2:$B$1048576,2,FALSE)="TE",AD44,VLOOKUP(AE44,$A$2:$B$1048576,2,FALSE)="TE",AE44,VLOOKUP(AF44,$A$2:$B$1048576,2,FALSE)="TE",AF44,VLOOKUP(AG44,$A$2:$B$1048576,2,FALSE)="TE",AG44,VLOOKUP(AH44,$A$2:$B$1048576,2,FALSE)="TE",AH44,VLOOKUP(AI44,$A$2:$B$1048576,2,FALSE)="TE",AI44)</f>
        <v>#N/A</v>
      </c>
      <c r="AR44" t="e" cm="1">
        <f t="array" ref="AR44">_xlfn.IFS(IF(OR(AA44=AK44,AA44=AL44,AA44=AM44,AA44=AN44,AA44=AO44,AA44=AP44,AA44=AQ44,AA44=AS44),1,0)=0,AA44,IF(OR(AB44=AK44,AB44=AL44,AB44=AM44,AB44=AN44,AB44=AO44,AB44=AP44,AB44=AQ44,AB44=AS44),1,0)=0,AB44,IF(OR(AC44=AK44,AC44=AL44,AC44=AM44,AC44=AN44,AC44=AO44,AC44=AP44,AC44=AQ44,AC44=AS44),1,0)=0,AC44,IF(OR(AD44=AK44,AD44=AL44,AD44=AM44,AD44=AN44,AD44=AO44,AD44=AP44,AD44=AQ44,AD44=AS44),1,0)=0,AD44,IF(OR(AE44=AK44,AE44=AL44,AE44=AM44,AE44=AN44,AE44=AO44,AE44=AP44,AE44=AQ44,AE44=AS44),1,0)=0,AE44,IF(OR(AF44=AK44,AF44=AL44,AF44=AM44,AF44=AN44,AF44=AO44,AF44=AP44,AF44=AQ44,AF44=AS44),1,0)=0,AF44,IF(OR(AG44=AK44,AG44=AL44,AG44=AM44,AG44=AN44,AG44=AO44,AG44=AP44,AG44=AQ44,AG44=AS44),1,0)=0,AG44,IF(OR(AH44=AK44,AH44=AL44,AH44=AM44,AH44=AN44,AH44=AO44,AH44=AP44,AH44=AQ44,AH44=AS44),1,0)=0,AH44,IF(OR(AI44=AK44,AI44=AL44,AI44=AM44,AI44=AN44,AI44=AO44,AI44=AP44,AI44=AQ44,AI44=AS44),1,0)=0,AI44)</f>
        <v>#N/A</v>
      </c>
      <c r="AS44" t="e" cm="1">
        <f t="array" ref="AS44">_xlfn.IFS(VLOOKUP(AA44,$A$2:$B$1048576,2,FALSE)="DST",AA44,VLOOKUP(AB44,$A$2:$B$1048576,2,FALSE)="DST",AB44,VLOOKUP(AC44,$A$2:$B$1048576,2,FALSE)="DST",AC44,VLOOKUP(AD44,$A$2:$B$1048576,2,FALSE)="DST",AD44,VLOOKUP(AE44,$A$2:$B$1048576,2,FALSE)="DST",AE44,VLOOKUP(AF44,$A$2:$B$1048576,2,FALSE)="DST",AF44,VLOOKUP(AG44,$A$2:$B$1048576,2,FALSE)="DST",AG44,VLOOKUP(AH44,$A$2:$B$1048576,2,FALSE)="DST",AH44,VLOOKUP(AI44,$A$2:$B$1048576,2,FALSE)="DST",AI44)</f>
        <v>#N/A</v>
      </c>
    </row>
    <row r="45" spans="1:45" x14ac:dyDescent="0.35">
      <c r="A45" t="s">
        <v>68</v>
      </c>
      <c r="B45" s="11" t="s">
        <v>9</v>
      </c>
      <c r="C45" s="11">
        <v>5000</v>
      </c>
      <c r="D45" s="12">
        <v>10.510283888888887</v>
      </c>
      <c r="E45" s="12">
        <v>11.716593133659485</v>
      </c>
      <c r="F45" s="12">
        <v>19.409496789146047</v>
      </c>
      <c r="H45" s="11">
        <v>0</v>
      </c>
      <c r="I45">
        <f>IF(B45="QB",H45*1,0)</f>
        <v>0</v>
      </c>
      <c r="J45">
        <f>IF(B45="RB",H45*1,0)</f>
        <v>0</v>
      </c>
      <c r="K45">
        <f>IF(B45="WR",H45*1,0)</f>
        <v>0</v>
      </c>
      <c r="L45">
        <f>IF(B45="TE",H45*1,0)</f>
        <v>0</v>
      </c>
      <c r="M45">
        <f>IF(B45="DST",H45*1,0)</f>
        <v>0</v>
      </c>
      <c r="X45" s="11">
        <f t="shared" si="0"/>
        <v>1</v>
      </c>
      <c r="Y45" s="9">
        <v>44</v>
      </c>
      <c r="Z45" s="12">
        <f t="shared" si="1"/>
        <v>0</v>
      </c>
      <c r="AK45" t="e" cm="1">
        <f t="array" ref="AK45">_xlfn.IFS(VLOOKUP(AA45,$A$2:$B$1048576,2,FALSE)="QB",AA45,VLOOKUP(AB45,$A$2:$B$1048576,2,FALSE)="QB",AB45,VLOOKUP(AC45,$A$2:$B$1048576,2,FALSE)="QB",AC45,VLOOKUP(AD45,$A$2:$B$1048576,2,FALSE)="QB",AD45,VLOOKUP(AE45,$A$2:$B$1048576,2,FALSE)="QB",AE45,VLOOKUP(AF45,$A$2:$B$1048576,2,FALSE)="QB",AF45,VLOOKUP(AG45,$A$2:$B$1048576,2,FALSE)="QB",AG45,VLOOKUP(AH45,$A$2:$B$1048576,2,FALSE)="QB",AH45,VLOOKUP(AI45,$A$2:$B$1048576,2,FALSE)="QB",AI45)</f>
        <v>#N/A</v>
      </c>
      <c r="AL45" t="e" cm="1">
        <f t="array" ref="AL45">_xlfn.IFS(VLOOKUP(AA45,$A$2:$B$1048576,2,FALSE)="RB",AA45,VLOOKUP(AB45,$A$2:$B$1048576,2,FALSE)="RB",AB45,VLOOKUP(AC45,$A$2:$B$1048576,2,FALSE)="RB",AC45,VLOOKUP(AD45,$A$2:$B$1048576,2,FALSE)="RB",AD45,VLOOKUP(AE45,$A$2:$B$1048576,2,FALSE)="RB",AE45,VLOOKUP(AF45,$A$2:$B$1048576,2,FALSE)="RB",AF45,VLOOKUP(AG45,$A$2:$B$1048576,2,FALSE)="RB",AG45,VLOOKUP(AH45,$A$2:$B$1048576,2,FALSE)="RB",AH45,VLOOKUP(AI45,$A$2:$B$1048576,2,FALSE)="RB",AI45)</f>
        <v>#N/A</v>
      </c>
      <c r="AM45" t="e">
        <f t="shared" si="2"/>
        <v>#N/A</v>
      </c>
      <c r="AN45" t="e" cm="1">
        <f t="array" ref="AN45">_xlfn.IFS(VLOOKUP(AA45,$A$2:$B$1048576,2,FALSE)="WR",AA45,VLOOKUP(AB45,$A$2:$B$1048576,2,FALSE)="WR",AB45,VLOOKUP(AC45,$A$2:$B$1048576,2,FALSE)="WR",AC45,VLOOKUP(AD45,$A$2:$B$1048576,2,FALSE)="WR",AD45,VLOOKUP(AE45,$A$2:$B$1048576,2,FALSE)="WR",AE45,VLOOKUP(AF45,$A$2:$B$1048576,2,FALSE)="WR",AF45,VLOOKUP(AG45,$A$2:$B$1048576,2,FALSE)="WR",AG45,VLOOKUP(AH45,$A$2:$B$1048576,2,FALSE)="WR",AH45,VLOOKUP(AI45,$A$2:$B$1048576,2,FALSE)="WR",AI45)</f>
        <v>#N/A</v>
      </c>
      <c r="AO45" t="e">
        <f t="shared" si="3"/>
        <v>#N/A</v>
      </c>
      <c r="AP45" t="e">
        <f t="shared" si="4"/>
        <v>#N/A</v>
      </c>
      <c r="AQ45" t="e" cm="1">
        <f t="array" ref="AQ45">_xlfn.IFS(VLOOKUP(AA45,$A$2:$B$1048576,2,FALSE)="TE",AA45,VLOOKUP(AB45,$A$2:$B$1048576,2,FALSE)="TE",AB45,VLOOKUP(AC45,$A$2:$B$1048576,2,FALSE)="TE",AC45,VLOOKUP(AD45,$A$2:$B$1048576,2,FALSE)="TE",AD45,VLOOKUP(AE45,$A$2:$B$1048576,2,FALSE)="TE",AE45,VLOOKUP(AF45,$A$2:$B$1048576,2,FALSE)="TE",AF45,VLOOKUP(AG45,$A$2:$B$1048576,2,FALSE)="TE",AG45,VLOOKUP(AH45,$A$2:$B$1048576,2,FALSE)="TE",AH45,VLOOKUP(AI45,$A$2:$B$1048576,2,FALSE)="TE",AI45)</f>
        <v>#N/A</v>
      </c>
      <c r="AR45" t="e" cm="1">
        <f t="array" ref="AR45">_xlfn.IFS(IF(OR(AA45=AK45,AA45=AL45,AA45=AM45,AA45=AN45,AA45=AO45,AA45=AP45,AA45=AQ45,AA45=AS45),1,0)=0,AA45,IF(OR(AB45=AK45,AB45=AL45,AB45=AM45,AB45=AN45,AB45=AO45,AB45=AP45,AB45=AQ45,AB45=AS45),1,0)=0,AB45,IF(OR(AC45=AK45,AC45=AL45,AC45=AM45,AC45=AN45,AC45=AO45,AC45=AP45,AC45=AQ45,AC45=AS45),1,0)=0,AC45,IF(OR(AD45=AK45,AD45=AL45,AD45=AM45,AD45=AN45,AD45=AO45,AD45=AP45,AD45=AQ45,AD45=AS45),1,0)=0,AD45,IF(OR(AE45=AK45,AE45=AL45,AE45=AM45,AE45=AN45,AE45=AO45,AE45=AP45,AE45=AQ45,AE45=AS45),1,0)=0,AE45,IF(OR(AF45=AK45,AF45=AL45,AF45=AM45,AF45=AN45,AF45=AO45,AF45=AP45,AF45=AQ45,AF45=AS45),1,0)=0,AF45,IF(OR(AG45=AK45,AG45=AL45,AG45=AM45,AG45=AN45,AG45=AO45,AG45=AP45,AG45=AQ45,AG45=AS45),1,0)=0,AG45,IF(OR(AH45=AK45,AH45=AL45,AH45=AM45,AH45=AN45,AH45=AO45,AH45=AP45,AH45=AQ45,AH45=AS45),1,0)=0,AH45,IF(OR(AI45=AK45,AI45=AL45,AI45=AM45,AI45=AN45,AI45=AO45,AI45=AP45,AI45=AQ45,AI45=AS45),1,0)=0,AI45)</f>
        <v>#N/A</v>
      </c>
      <c r="AS45" t="e" cm="1">
        <f t="array" ref="AS45">_xlfn.IFS(VLOOKUP(AA45,$A$2:$B$1048576,2,FALSE)="DST",AA45,VLOOKUP(AB45,$A$2:$B$1048576,2,FALSE)="DST",AB45,VLOOKUP(AC45,$A$2:$B$1048576,2,FALSE)="DST",AC45,VLOOKUP(AD45,$A$2:$B$1048576,2,FALSE)="DST",AD45,VLOOKUP(AE45,$A$2:$B$1048576,2,FALSE)="DST",AE45,VLOOKUP(AF45,$A$2:$B$1048576,2,FALSE)="DST",AF45,VLOOKUP(AG45,$A$2:$B$1048576,2,FALSE)="DST",AG45,VLOOKUP(AH45,$A$2:$B$1048576,2,FALSE)="DST",AH45,VLOOKUP(AI45,$A$2:$B$1048576,2,FALSE)="DST",AI45)</f>
        <v>#N/A</v>
      </c>
    </row>
    <row r="46" spans="1:45" x14ac:dyDescent="0.35">
      <c r="A46" t="s">
        <v>69</v>
      </c>
      <c r="B46" s="11" t="s">
        <v>9</v>
      </c>
      <c r="C46" s="11">
        <v>4300</v>
      </c>
      <c r="D46" s="12">
        <v>10.553172777777776</v>
      </c>
      <c r="E46" s="12">
        <v>10.59036796366275</v>
      </c>
      <c r="F46" s="12">
        <v>19.594258918248347</v>
      </c>
      <c r="H46" s="11">
        <v>0</v>
      </c>
      <c r="I46">
        <f>IF(B46="QB",H46*1,0)</f>
        <v>0</v>
      </c>
      <c r="J46">
        <f>IF(B46="RB",H46*1,0)</f>
        <v>0</v>
      </c>
      <c r="K46">
        <f>IF(B46="WR",H46*1,0)</f>
        <v>0</v>
      </c>
      <c r="L46">
        <f>IF(B46="TE",H46*1,0)</f>
        <v>0</v>
      </c>
      <c r="M46">
        <f>IF(B46="DST",H46*1,0)</f>
        <v>0</v>
      </c>
      <c r="X46" s="11">
        <f t="shared" si="0"/>
        <v>1</v>
      </c>
      <c r="Y46" s="9">
        <v>45</v>
      </c>
      <c r="Z46" s="12">
        <f t="shared" si="1"/>
        <v>0</v>
      </c>
      <c r="AK46" t="e" cm="1">
        <f t="array" ref="AK46">_xlfn.IFS(VLOOKUP(AA46,$A$2:$B$1048576,2,FALSE)="QB",AA46,VLOOKUP(AB46,$A$2:$B$1048576,2,FALSE)="QB",AB46,VLOOKUP(AC46,$A$2:$B$1048576,2,FALSE)="QB",AC46,VLOOKUP(AD46,$A$2:$B$1048576,2,FALSE)="QB",AD46,VLOOKUP(AE46,$A$2:$B$1048576,2,FALSE)="QB",AE46,VLOOKUP(AF46,$A$2:$B$1048576,2,FALSE)="QB",AF46,VLOOKUP(AG46,$A$2:$B$1048576,2,FALSE)="QB",AG46,VLOOKUP(AH46,$A$2:$B$1048576,2,FALSE)="QB",AH46,VLOOKUP(AI46,$A$2:$B$1048576,2,FALSE)="QB",AI46)</f>
        <v>#N/A</v>
      </c>
      <c r="AL46" t="e" cm="1">
        <f t="array" ref="AL46">_xlfn.IFS(VLOOKUP(AA46,$A$2:$B$1048576,2,FALSE)="RB",AA46,VLOOKUP(AB46,$A$2:$B$1048576,2,FALSE)="RB",AB46,VLOOKUP(AC46,$A$2:$B$1048576,2,FALSE)="RB",AC46,VLOOKUP(AD46,$A$2:$B$1048576,2,FALSE)="RB",AD46,VLOOKUP(AE46,$A$2:$B$1048576,2,FALSE)="RB",AE46,VLOOKUP(AF46,$A$2:$B$1048576,2,FALSE)="RB",AF46,VLOOKUP(AG46,$A$2:$B$1048576,2,FALSE)="RB",AG46,VLOOKUP(AH46,$A$2:$B$1048576,2,FALSE)="RB",AH46,VLOOKUP(AI46,$A$2:$B$1048576,2,FALSE)="RB",AI46)</f>
        <v>#N/A</v>
      </c>
      <c r="AM46" t="e">
        <f t="shared" si="2"/>
        <v>#N/A</v>
      </c>
      <c r="AN46" t="e" cm="1">
        <f t="array" ref="AN46">_xlfn.IFS(VLOOKUP(AA46,$A$2:$B$1048576,2,FALSE)="WR",AA46,VLOOKUP(AB46,$A$2:$B$1048576,2,FALSE)="WR",AB46,VLOOKUP(AC46,$A$2:$B$1048576,2,FALSE)="WR",AC46,VLOOKUP(AD46,$A$2:$B$1048576,2,FALSE)="WR",AD46,VLOOKUP(AE46,$A$2:$B$1048576,2,FALSE)="WR",AE46,VLOOKUP(AF46,$A$2:$B$1048576,2,FALSE)="WR",AF46,VLOOKUP(AG46,$A$2:$B$1048576,2,FALSE)="WR",AG46,VLOOKUP(AH46,$A$2:$B$1048576,2,FALSE)="WR",AH46,VLOOKUP(AI46,$A$2:$B$1048576,2,FALSE)="WR",AI46)</f>
        <v>#N/A</v>
      </c>
      <c r="AO46" t="e">
        <f t="shared" si="3"/>
        <v>#N/A</v>
      </c>
      <c r="AP46" t="e">
        <f t="shared" si="4"/>
        <v>#N/A</v>
      </c>
      <c r="AQ46" t="e" cm="1">
        <f t="array" ref="AQ46">_xlfn.IFS(VLOOKUP(AA46,$A$2:$B$1048576,2,FALSE)="TE",AA46,VLOOKUP(AB46,$A$2:$B$1048576,2,FALSE)="TE",AB46,VLOOKUP(AC46,$A$2:$B$1048576,2,FALSE)="TE",AC46,VLOOKUP(AD46,$A$2:$B$1048576,2,FALSE)="TE",AD46,VLOOKUP(AE46,$A$2:$B$1048576,2,FALSE)="TE",AE46,VLOOKUP(AF46,$A$2:$B$1048576,2,FALSE)="TE",AF46,VLOOKUP(AG46,$A$2:$B$1048576,2,FALSE)="TE",AG46,VLOOKUP(AH46,$A$2:$B$1048576,2,FALSE)="TE",AH46,VLOOKUP(AI46,$A$2:$B$1048576,2,FALSE)="TE",AI46)</f>
        <v>#N/A</v>
      </c>
      <c r="AR46" t="e" cm="1">
        <f t="array" ref="AR46">_xlfn.IFS(IF(OR(AA46=AK46,AA46=AL46,AA46=AM46,AA46=AN46,AA46=AO46,AA46=AP46,AA46=AQ46,AA46=AS46),1,0)=0,AA46,IF(OR(AB46=AK46,AB46=AL46,AB46=AM46,AB46=AN46,AB46=AO46,AB46=AP46,AB46=AQ46,AB46=AS46),1,0)=0,AB46,IF(OR(AC46=AK46,AC46=AL46,AC46=AM46,AC46=AN46,AC46=AO46,AC46=AP46,AC46=AQ46,AC46=AS46),1,0)=0,AC46,IF(OR(AD46=AK46,AD46=AL46,AD46=AM46,AD46=AN46,AD46=AO46,AD46=AP46,AD46=AQ46,AD46=AS46),1,0)=0,AD46,IF(OR(AE46=AK46,AE46=AL46,AE46=AM46,AE46=AN46,AE46=AO46,AE46=AP46,AE46=AQ46,AE46=AS46),1,0)=0,AE46,IF(OR(AF46=AK46,AF46=AL46,AF46=AM46,AF46=AN46,AF46=AO46,AF46=AP46,AF46=AQ46,AF46=AS46),1,0)=0,AF46,IF(OR(AG46=AK46,AG46=AL46,AG46=AM46,AG46=AN46,AG46=AO46,AG46=AP46,AG46=AQ46,AG46=AS46),1,0)=0,AG46,IF(OR(AH46=AK46,AH46=AL46,AH46=AM46,AH46=AN46,AH46=AO46,AH46=AP46,AH46=AQ46,AH46=AS46),1,0)=0,AH46,IF(OR(AI46=AK46,AI46=AL46,AI46=AM46,AI46=AN46,AI46=AO46,AI46=AP46,AI46=AQ46,AI46=AS46),1,0)=0,AI46)</f>
        <v>#N/A</v>
      </c>
      <c r="AS46" t="e" cm="1">
        <f t="array" ref="AS46">_xlfn.IFS(VLOOKUP(AA46,$A$2:$B$1048576,2,FALSE)="DST",AA46,VLOOKUP(AB46,$A$2:$B$1048576,2,FALSE)="DST",AB46,VLOOKUP(AC46,$A$2:$B$1048576,2,FALSE)="DST",AC46,VLOOKUP(AD46,$A$2:$B$1048576,2,FALSE)="DST",AD46,VLOOKUP(AE46,$A$2:$B$1048576,2,FALSE)="DST",AE46,VLOOKUP(AF46,$A$2:$B$1048576,2,FALSE)="DST",AF46,VLOOKUP(AG46,$A$2:$B$1048576,2,FALSE)="DST",AG46,VLOOKUP(AH46,$A$2:$B$1048576,2,FALSE)="DST",AH46,VLOOKUP(AI46,$A$2:$B$1048576,2,FALSE)="DST",AI46)</f>
        <v>#N/A</v>
      </c>
    </row>
    <row r="47" spans="1:45" x14ac:dyDescent="0.35">
      <c r="A47" t="s">
        <v>70</v>
      </c>
      <c r="B47" s="11" t="s">
        <v>9</v>
      </c>
      <c r="C47" s="11">
        <v>5000</v>
      </c>
      <c r="D47" s="12">
        <v>10.521601805555553</v>
      </c>
      <c r="E47" s="12">
        <v>10.522217513758626</v>
      </c>
      <c r="F47" s="12">
        <v>19.443565823443901</v>
      </c>
      <c r="H47" s="11">
        <v>0</v>
      </c>
      <c r="I47">
        <f>IF(B47="QB",H47*1,0)</f>
        <v>0</v>
      </c>
      <c r="J47">
        <f>IF(B47="RB",H47*1,0)</f>
        <v>0</v>
      </c>
      <c r="K47">
        <f>IF(B47="WR",H47*1,0)</f>
        <v>0</v>
      </c>
      <c r="L47">
        <f>IF(B47="TE",H47*1,0)</f>
        <v>0</v>
      </c>
      <c r="M47">
        <f>IF(B47="DST",H47*1,0)</f>
        <v>0</v>
      </c>
      <c r="X47" s="11">
        <f t="shared" si="0"/>
        <v>1</v>
      </c>
      <c r="Y47" s="9">
        <v>46</v>
      </c>
      <c r="Z47" s="12">
        <f t="shared" si="1"/>
        <v>0</v>
      </c>
      <c r="AK47" t="e" cm="1">
        <f t="array" ref="AK47">_xlfn.IFS(VLOOKUP(AA47,$A$2:$B$1048576,2,FALSE)="QB",AA47,VLOOKUP(AB47,$A$2:$B$1048576,2,FALSE)="QB",AB47,VLOOKUP(AC47,$A$2:$B$1048576,2,FALSE)="QB",AC47,VLOOKUP(AD47,$A$2:$B$1048576,2,FALSE)="QB",AD47,VLOOKUP(AE47,$A$2:$B$1048576,2,FALSE)="QB",AE47,VLOOKUP(AF47,$A$2:$B$1048576,2,FALSE)="QB",AF47,VLOOKUP(AG47,$A$2:$B$1048576,2,FALSE)="QB",AG47,VLOOKUP(AH47,$A$2:$B$1048576,2,FALSE)="QB",AH47,VLOOKUP(AI47,$A$2:$B$1048576,2,FALSE)="QB",AI47)</f>
        <v>#N/A</v>
      </c>
      <c r="AL47" t="e" cm="1">
        <f t="array" ref="AL47">_xlfn.IFS(VLOOKUP(AA47,$A$2:$B$1048576,2,FALSE)="RB",AA47,VLOOKUP(AB47,$A$2:$B$1048576,2,FALSE)="RB",AB47,VLOOKUP(AC47,$A$2:$B$1048576,2,FALSE)="RB",AC47,VLOOKUP(AD47,$A$2:$B$1048576,2,FALSE)="RB",AD47,VLOOKUP(AE47,$A$2:$B$1048576,2,FALSE)="RB",AE47,VLOOKUP(AF47,$A$2:$B$1048576,2,FALSE)="RB",AF47,VLOOKUP(AG47,$A$2:$B$1048576,2,FALSE)="RB",AG47,VLOOKUP(AH47,$A$2:$B$1048576,2,FALSE)="RB",AH47,VLOOKUP(AI47,$A$2:$B$1048576,2,FALSE)="RB",AI47)</f>
        <v>#N/A</v>
      </c>
      <c r="AM47" t="e">
        <f t="shared" si="2"/>
        <v>#N/A</v>
      </c>
      <c r="AN47" t="e" cm="1">
        <f t="array" ref="AN47">_xlfn.IFS(VLOOKUP(AA47,$A$2:$B$1048576,2,FALSE)="WR",AA47,VLOOKUP(AB47,$A$2:$B$1048576,2,FALSE)="WR",AB47,VLOOKUP(AC47,$A$2:$B$1048576,2,FALSE)="WR",AC47,VLOOKUP(AD47,$A$2:$B$1048576,2,FALSE)="WR",AD47,VLOOKUP(AE47,$A$2:$B$1048576,2,FALSE)="WR",AE47,VLOOKUP(AF47,$A$2:$B$1048576,2,FALSE)="WR",AF47,VLOOKUP(AG47,$A$2:$B$1048576,2,FALSE)="WR",AG47,VLOOKUP(AH47,$A$2:$B$1048576,2,FALSE)="WR",AH47,VLOOKUP(AI47,$A$2:$B$1048576,2,FALSE)="WR",AI47)</f>
        <v>#N/A</v>
      </c>
      <c r="AO47" t="e">
        <f t="shared" si="3"/>
        <v>#N/A</v>
      </c>
      <c r="AP47" t="e">
        <f t="shared" si="4"/>
        <v>#N/A</v>
      </c>
      <c r="AQ47" t="e" cm="1">
        <f t="array" ref="AQ47">_xlfn.IFS(VLOOKUP(AA47,$A$2:$B$1048576,2,FALSE)="TE",AA47,VLOOKUP(AB47,$A$2:$B$1048576,2,FALSE)="TE",AB47,VLOOKUP(AC47,$A$2:$B$1048576,2,FALSE)="TE",AC47,VLOOKUP(AD47,$A$2:$B$1048576,2,FALSE)="TE",AD47,VLOOKUP(AE47,$A$2:$B$1048576,2,FALSE)="TE",AE47,VLOOKUP(AF47,$A$2:$B$1048576,2,FALSE)="TE",AF47,VLOOKUP(AG47,$A$2:$B$1048576,2,FALSE)="TE",AG47,VLOOKUP(AH47,$A$2:$B$1048576,2,FALSE)="TE",AH47,VLOOKUP(AI47,$A$2:$B$1048576,2,FALSE)="TE",AI47)</f>
        <v>#N/A</v>
      </c>
      <c r="AR47" t="e" cm="1">
        <f t="array" ref="AR47">_xlfn.IFS(IF(OR(AA47=AK47,AA47=AL47,AA47=AM47,AA47=AN47,AA47=AO47,AA47=AP47,AA47=AQ47,AA47=AS47),1,0)=0,AA47,IF(OR(AB47=AK47,AB47=AL47,AB47=AM47,AB47=AN47,AB47=AO47,AB47=AP47,AB47=AQ47,AB47=AS47),1,0)=0,AB47,IF(OR(AC47=AK47,AC47=AL47,AC47=AM47,AC47=AN47,AC47=AO47,AC47=AP47,AC47=AQ47,AC47=AS47),1,0)=0,AC47,IF(OR(AD47=AK47,AD47=AL47,AD47=AM47,AD47=AN47,AD47=AO47,AD47=AP47,AD47=AQ47,AD47=AS47),1,0)=0,AD47,IF(OR(AE47=AK47,AE47=AL47,AE47=AM47,AE47=AN47,AE47=AO47,AE47=AP47,AE47=AQ47,AE47=AS47),1,0)=0,AE47,IF(OR(AF47=AK47,AF47=AL47,AF47=AM47,AF47=AN47,AF47=AO47,AF47=AP47,AF47=AQ47,AF47=AS47),1,0)=0,AF47,IF(OR(AG47=AK47,AG47=AL47,AG47=AM47,AG47=AN47,AG47=AO47,AG47=AP47,AG47=AQ47,AG47=AS47),1,0)=0,AG47,IF(OR(AH47=AK47,AH47=AL47,AH47=AM47,AH47=AN47,AH47=AO47,AH47=AP47,AH47=AQ47,AH47=AS47),1,0)=0,AH47,IF(OR(AI47=AK47,AI47=AL47,AI47=AM47,AI47=AN47,AI47=AO47,AI47=AP47,AI47=AQ47,AI47=AS47),1,0)=0,AI47)</f>
        <v>#N/A</v>
      </c>
      <c r="AS47" t="e" cm="1">
        <f t="array" ref="AS47">_xlfn.IFS(VLOOKUP(AA47,$A$2:$B$1048576,2,FALSE)="DST",AA47,VLOOKUP(AB47,$A$2:$B$1048576,2,FALSE)="DST",AB47,VLOOKUP(AC47,$A$2:$B$1048576,2,FALSE)="DST",AC47,VLOOKUP(AD47,$A$2:$B$1048576,2,FALSE)="DST",AD47,VLOOKUP(AE47,$A$2:$B$1048576,2,FALSE)="DST",AE47,VLOOKUP(AF47,$A$2:$B$1048576,2,FALSE)="DST",AF47,VLOOKUP(AG47,$A$2:$B$1048576,2,FALSE)="DST",AG47,VLOOKUP(AH47,$A$2:$B$1048576,2,FALSE)="DST",AH47,VLOOKUP(AI47,$A$2:$B$1048576,2,FALSE)="DST",AI47)</f>
        <v>#N/A</v>
      </c>
    </row>
    <row r="48" spans="1:45" x14ac:dyDescent="0.35">
      <c r="A48" t="s">
        <v>71</v>
      </c>
      <c r="B48" s="11" t="s">
        <v>9</v>
      </c>
      <c r="C48" s="11">
        <v>4200</v>
      </c>
      <c r="D48" s="12">
        <v>10.39461722222222</v>
      </c>
      <c r="E48" s="12">
        <v>11.380090505526212</v>
      </c>
      <c r="F48" s="12">
        <v>19.123709822352364</v>
      </c>
      <c r="H48" s="11">
        <v>0</v>
      </c>
      <c r="I48">
        <f>IF(B48="QB",H48*1,0)</f>
        <v>0</v>
      </c>
      <c r="J48">
        <f>IF(B48="RB",H48*1,0)</f>
        <v>0</v>
      </c>
      <c r="K48">
        <f>IF(B48="WR",H48*1,0)</f>
        <v>0</v>
      </c>
      <c r="L48">
        <f>IF(B48="TE",H48*1,0)</f>
        <v>0</v>
      </c>
      <c r="M48">
        <f>IF(B48="DST",H48*1,0)</f>
        <v>0</v>
      </c>
      <c r="X48" s="11">
        <f t="shared" si="0"/>
        <v>1</v>
      </c>
      <c r="Y48" s="9">
        <v>47</v>
      </c>
      <c r="Z48" s="12">
        <f t="shared" si="1"/>
        <v>0</v>
      </c>
      <c r="AK48" t="e" cm="1">
        <f t="array" ref="AK48">_xlfn.IFS(VLOOKUP(AA48,$A$2:$B$1048576,2,FALSE)="QB",AA48,VLOOKUP(AB48,$A$2:$B$1048576,2,FALSE)="QB",AB48,VLOOKUP(AC48,$A$2:$B$1048576,2,FALSE)="QB",AC48,VLOOKUP(AD48,$A$2:$B$1048576,2,FALSE)="QB",AD48,VLOOKUP(AE48,$A$2:$B$1048576,2,FALSE)="QB",AE48,VLOOKUP(AF48,$A$2:$B$1048576,2,FALSE)="QB",AF48,VLOOKUP(AG48,$A$2:$B$1048576,2,FALSE)="QB",AG48,VLOOKUP(AH48,$A$2:$B$1048576,2,FALSE)="QB",AH48,VLOOKUP(AI48,$A$2:$B$1048576,2,FALSE)="QB",AI48)</f>
        <v>#N/A</v>
      </c>
      <c r="AL48" t="e" cm="1">
        <f t="array" ref="AL48">_xlfn.IFS(VLOOKUP(AA48,$A$2:$B$1048576,2,FALSE)="RB",AA48,VLOOKUP(AB48,$A$2:$B$1048576,2,FALSE)="RB",AB48,VLOOKUP(AC48,$A$2:$B$1048576,2,FALSE)="RB",AC48,VLOOKUP(AD48,$A$2:$B$1048576,2,FALSE)="RB",AD48,VLOOKUP(AE48,$A$2:$B$1048576,2,FALSE)="RB",AE48,VLOOKUP(AF48,$A$2:$B$1048576,2,FALSE)="RB",AF48,VLOOKUP(AG48,$A$2:$B$1048576,2,FALSE)="RB",AG48,VLOOKUP(AH48,$A$2:$B$1048576,2,FALSE)="RB",AH48,VLOOKUP(AI48,$A$2:$B$1048576,2,FALSE)="RB",AI48)</f>
        <v>#N/A</v>
      </c>
      <c r="AM48" t="e">
        <f t="shared" si="2"/>
        <v>#N/A</v>
      </c>
      <c r="AN48" t="e" cm="1">
        <f t="array" ref="AN48">_xlfn.IFS(VLOOKUP(AA48,$A$2:$B$1048576,2,FALSE)="WR",AA48,VLOOKUP(AB48,$A$2:$B$1048576,2,FALSE)="WR",AB48,VLOOKUP(AC48,$A$2:$B$1048576,2,FALSE)="WR",AC48,VLOOKUP(AD48,$A$2:$B$1048576,2,FALSE)="WR",AD48,VLOOKUP(AE48,$A$2:$B$1048576,2,FALSE)="WR",AE48,VLOOKUP(AF48,$A$2:$B$1048576,2,FALSE)="WR",AF48,VLOOKUP(AG48,$A$2:$B$1048576,2,FALSE)="WR",AG48,VLOOKUP(AH48,$A$2:$B$1048576,2,FALSE)="WR",AH48,VLOOKUP(AI48,$A$2:$B$1048576,2,FALSE)="WR",AI48)</f>
        <v>#N/A</v>
      </c>
      <c r="AO48" t="e">
        <f t="shared" si="3"/>
        <v>#N/A</v>
      </c>
      <c r="AP48" t="e">
        <f t="shared" si="4"/>
        <v>#N/A</v>
      </c>
      <c r="AQ48" t="e" cm="1">
        <f t="array" ref="AQ48">_xlfn.IFS(VLOOKUP(AA48,$A$2:$B$1048576,2,FALSE)="TE",AA48,VLOOKUP(AB48,$A$2:$B$1048576,2,FALSE)="TE",AB48,VLOOKUP(AC48,$A$2:$B$1048576,2,FALSE)="TE",AC48,VLOOKUP(AD48,$A$2:$B$1048576,2,FALSE)="TE",AD48,VLOOKUP(AE48,$A$2:$B$1048576,2,FALSE)="TE",AE48,VLOOKUP(AF48,$A$2:$B$1048576,2,FALSE)="TE",AF48,VLOOKUP(AG48,$A$2:$B$1048576,2,FALSE)="TE",AG48,VLOOKUP(AH48,$A$2:$B$1048576,2,FALSE)="TE",AH48,VLOOKUP(AI48,$A$2:$B$1048576,2,FALSE)="TE",AI48)</f>
        <v>#N/A</v>
      </c>
      <c r="AR48" t="e" cm="1">
        <f t="array" ref="AR48">_xlfn.IFS(IF(OR(AA48=AK48,AA48=AL48,AA48=AM48,AA48=AN48,AA48=AO48,AA48=AP48,AA48=AQ48,AA48=AS48),1,0)=0,AA48,IF(OR(AB48=AK48,AB48=AL48,AB48=AM48,AB48=AN48,AB48=AO48,AB48=AP48,AB48=AQ48,AB48=AS48),1,0)=0,AB48,IF(OR(AC48=AK48,AC48=AL48,AC48=AM48,AC48=AN48,AC48=AO48,AC48=AP48,AC48=AQ48,AC48=AS48),1,0)=0,AC48,IF(OR(AD48=AK48,AD48=AL48,AD48=AM48,AD48=AN48,AD48=AO48,AD48=AP48,AD48=AQ48,AD48=AS48),1,0)=0,AD48,IF(OR(AE48=AK48,AE48=AL48,AE48=AM48,AE48=AN48,AE48=AO48,AE48=AP48,AE48=AQ48,AE48=AS48),1,0)=0,AE48,IF(OR(AF48=AK48,AF48=AL48,AF48=AM48,AF48=AN48,AF48=AO48,AF48=AP48,AF48=AQ48,AF48=AS48),1,0)=0,AF48,IF(OR(AG48=AK48,AG48=AL48,AG48=AM48,AG48=AN48,AG48=AO48,AG48=AP48,AG48=AQ48,AG48=AS48),1,0)=0,AG48,IF(OR(AH48=AK48,AH48=AL48,AH48=AM48,AH48=AN48,AH48=AO48,AH48=AP48,AH48=AQ48,AH48=AS48),1,0)=0,AH48,IF(OR(AI48=AK48,AI48=AL48,AI48=AM48,AI48=AN48,AI48=AO48,AI48=AP48,AI48=AQ48,AI48=AS48),1,0)=0,AI48)</f>
        <v>#N/A</v>
      </c>
      <c r="AS48" t="e" cm="1">
        <f t="array" ref="AS48">_xlfn.IFS(VLOOKUP(AA48,$A$2:$B$1048576,2,FALSE)="DST",AA48,VLOOKUP(AB48,$A$2:$B$1048576,2,FALSE)="DST",AB48,VLOOKUP(AC48,$A$2:$B$1048576,2,FALSE)="DST",AC48,VLOOKUP(AD48,$A$2:$B$1048576,2,FALSE)="DST",AD48,VLOOKUP(AE48,$A$2:$B$1048576,2,FALSE)="DST",AE48,VLOOKUP(AF48,$A$2:$B$1048576,2,FALSE)="DST",AF48,VLOOKUP(AG48,$A$2:$B$1048576,2,FALSE)="DST",AG48,VLOOKUP(AH48,$A$2:$B$1048576,2,FALSE)="DST",AH48,VLOOKUP(AI48,$A$2:$B$1048576,2,FALSE)="DST",AI48)</f>
        <v>#N/A</v>
      </c>
    </row>
    <row r="49" spans="1:45" x14ac:dyDescent="0.35">
      <c r="A49" t="s">
        <v>72</v>
      </c>
      <c r="B49" s="11" t="s">
        <v>9</v>
      </c>
      <c r="C49" s="11">
        <v>4800</v>
      </c>
      <c r="D49" s="12">
        <v>10.163867222222221</v>
      </c>
      <c r="E49" s="12">
        <v>10.492786284619466</v>
      </c>
      <c r="F49" s="12">
        <v>18.380197823147245</v>
      </c>
      <c r="H49" s="11">
        <v>0</v>
      </c>
      <c r="I49">
        <f>IF(B49="QB",H49*1,0)</f>
        <v>0</v>
      </c>
      <c r="J49">
        <f>IF(B49="RB",H49*1,0)</f>
        <v>0</v>
      </c>
      <c r="K49">
        <f>IF(B49="WR",H49*1,0)</f>
        <v>0</v>
      </c>
      <c r="L49">
        <f>IF(B49="TE",H49*1,0)</f>
        <v>0</v>
      </c>
      <c r="M49">
        <f>IF(B49="DST",H49*1,0)</f>
        <v>0</v>
      </c>
      <c r="X49" s="11">
        <f t="shared" si="0"/>
        <v>1</v>
      </c>
      <c r="Y49" s="9">
        <v>48</v>
      </c>
      <c r="Z49" s="12">
        <f t="shared" si="1"/>
        <v>0</v>
      </c>
      <c r="AK49" t="e" cm="1">
        <f t="array" ref="AK49">_xlfn.IFS(VLOOKUP(AA49,$A$2:$B$1048576,2,FALSE)="QB",AA49,VLOOKUP(AB49,$A$2:$B$1048576,2,FALSE)="QB",AB49,VLOOKUP(AC49,$A$2:$B$1048576,2,FALSE)="QB",AC49,VLOOKUP(AD49,$A$2:$B$1048576,2,FALSE)="QB",AD49,VLOOKUP(AE49,$A$2:$B$1048576,2,FALSE)="QB",AE49,VLOOKUP(AF49,$A$2:$B$1048576,2,FALSE)="QB",AF49,VLOOKUP(AG49,$A$2:$B$1048576,2,FALSE)="QB",AG49,VLOOKUP(AH49,$A$2:$B$1048576,2,FALSE)="QB",AH49,VLOOKUP(AI49,$A$2:$B$1048576,2,FALSE)="QB",AI49)</f>
        <v>#N/A</v>
      </c>
      <c r="AL49" t="e" cm="1">
        <f t="array" ref="AL49">_xlfn.IFS(VLOOKUP(AA49,$A$2:$B$1048576,2,FALSE)="RB",AA49,VLOOKUP(AB49,$A$2:$B$1048576,2,FALSE)="RB",AB49,VLOOKUP(AC49,$A$2:$B$1048576,2,FALSE)="RB",AC49,VLOOKUP(AD49,$A$2:$B$1048576,2,FALSE)="RB",AD49,VLOOKUP(AE49,$A$2:$B$1048576,2,FALSE)="RB",AE49,VLOOKUP(AF49,$A$2:$B$1048576,2,FALSE)="RB",AF49,VLOOKUP(AG49,$A$2:$B$1048576,2,FALSE)="RB",AG49,VLOOKUP(AH49,$A$2:$B$1048576,2,FALSE)="RB",AH49,VLOOKUP(AI49,$A$2:$B$1048576,2,FALSE)="RB",AI49)</f>
        <v>#N/A</v>
      </c>
      <c r="AM49" t="e">
        <f t="shared" si="2"/>
        <v>#N/A</v>
      </c>
      <c r="AN49" t="e" cm="1">
        <f t="array" ref="AN49">_xlfn.IFS(VLOOKUP(AA49,$A$2:$B$1048576,2,FALSE)="WR",AA49,VLOOKUP(AB49,$A$2:$B$1048576,2,FALSE)="WR",AB49,VLOOKUP(AC49,$A$2:$B$1048576,2,FALSE)="WR",AC49,VLOOKUP(AD49,$A$2:$B$1048576,2,FALSE)="WR",AD49,VLOOKUP(AE49,$A$2:$B$1048576,2,FALSE)="WR",AE49,VLOOKUP(AF49,$A$2:$B$1048576,2,FALSE)="WR",AF49,VLOOKUP(AG49,$A$2:$B$1048576,2,FALSE)="WR",AG49,VLOOKUP(AH49,$A$2:$B$1048576,2,FALSE)="WR",AH49,VLOOKUP(AI49,$A$2:$B$1048576,2,FALSE)="WR",AI49)</f>
        <v>#N/A</v>
      </c>
      <c r="AO49" t="e">
        <f t="shared" si="3"/>
        <v>#N/A</v>
      </c>
      <c r="AP49" t="e">
        <f t="shared" si="4"/>
        <v>#N/A</v>
      </c>
      <c r="AQ49" t="e" cm="1">
        <f t="array" ref="AQ49">_xlfn.IFS(VLOOKUP(AA49,$A$2:$B$1048576,2,FALSE)="TE",AA49,VLOOKUP(AB49,$A$2:$B$1048576,2,FALSE)="TE",AB49,VLOOKUP(AC49,$A$2:$B$1048576,2,FALSE)="TE",AC49,VLOOKUP(AD49,$A$2:$B$1048576,2,FALSE)="TE",AD49,VLOOKUP(AE49,$A$2:$B$1048576,2,FALSE)="TE",AE49,VLOOKUP(AF49,$A$2:$B$1048576,2,FALSE)="TE",AF49,VLOOKUP(AG49,$A$2:$B$1048576,2,FALSE)="TE",AG49,VLOOKUP(AH49,$A$2:$B$1048576,2,FALSE)="TE",AH49,VLOOKUP(AI49,$A$2:$B$1048576,2,FALSE)="TE",AI49)</f>
        <v>#N/A</v>
      </c>
      <c r="AR49" t="e" cm="1">
        <f t="array" ref="AR49">_xlfn.IFS(IF(OR(AA49=AK49,AA49=AL49,AA49=AM49,AA49=AN49,AA49=AO49,AA49=AP49,AA49=AQ49,AA49=AS49),1,0)=0,AA49,IF(OR(AB49=AK49,AB49=AL49,AB49=AM49,AB49=AN49,AB49=AO49,AB49=AP49,AB49=AQ49,AB49=AS49),1,0)=0,AB49,IF(OR(AC49=AK49,AC49=AL49,AC49=AM49,AC49=AN49,AC49=AO49,AC49=AP49,AC49=AQ49,AC49=AS49),1,0)=0,AC49,IF(OR(AD49=AK49,AD49=AL49,AD49=AM49,AD49=AN49,AD49=AO49,AD49=AP49,AD49=AQ49,AD49=AS49),1,0)=0,AD49,IF(OR(AE49=AK49,AE49=AL49,AE49=AM49,AE49=AN49,AE49=AO49,AE49=AP49,AE49=AQ49,AE49=AS49),1,0)=0,AE49,IF(OR(AF49=AK49,AF49=AL49,AF49=AM49,AF49=AN49,AF49=AO49,AF49=AP49,AF49=AQ49,AF49=AS49),1,0)=0,AF49,IF(OR(AG49=AK49,AG49=AL49,AG49=AM49,AG49=AN49,AG49=AO49,AG49=AP49,AG49=AQ49,AG49=AS49),1,0)=0,AG49,IF(OR(AH49=AK49,AH49=AL49,AH49=AM49,AH49=AN49,AH49=AO49,AH49=AP49,AH49=AQ49,AH49=AS49),1,0)=0,AH49,IF(OR(AI49=AK49,AI49=AL49,AI49=AM49,AI49=AN49,AI49=AO49,AI49=AP49,AI49=AQ49,AI49=AS49),1,0)=0,AI49)</f>
        <v>#N/A</v>
      </c>
      <c r="AS49" t="e" cm="1">
        <f t="array" ref="AS49">_xlfn.IFS(VLOOKUP(AA49,$A$2:$B$1048576,2,FALSE)="DST",AA49,VLOOKUP(AB49,$A$2:$B$1048576,2,FALSE)="DST",AB49,VLOOKUP(AC49,$A$2:$B$1048576,2,FALSE)="DST",AC49,VLOOKUP(AD49,$A$2:$B$1048576,2,FALSE)="DST",AD49,VLOOKUP(AE49,$A$2:$B$1048576,2,FALSE)="DST",AE49,VLOOKUP(AF49,$A$2:$B$1048576,2,FALSE)="DST",AF49,VLOOKUP(AG49,$A$2:$B$1048576,2,FALSE)="DST",AG49,VLOOKUP(AH49,$A$2:$B$1048576,2,FALSE)="DST",AH49,VLOOKUP(AI49,$A$2:$B$1048576,2,FALSE)="DST",AI49)</f>
        <v>#N/A</v>
      </c>
    </row>
    <row r="50" spans="1:45" x14ac:dyDescent="0.35">
      <c r="A50" t="s">
        <v>73</v>
      </c>
      <c r="B50" s="11" t="s">
        <v>9</v>
      </c>
      <c r="C50" s="11">
        <v>4500</v>
      </c>
      <c r="D50" s="12">
        <v>10.134172777777778</v>
      </c>
      <c r="E50" s="12">
        <v>10.896016348711504</v>
      </c>
      <c r="F50" s="12">
        <v>18.311905933339574</v>
      </c>
      <c r="H50" s="11">
        <v>0</v>
      </c>
      <c r="I50">
        <f>IF(B50="QB",H50*1,0)</f>
        <v>0</v>
      </c>
      <c r="J50">
        <f>IF(B50="RB",H50*1,0)</f>
        <v>0</v>
      </c>
      <c r="K50">
        <f>IF(B50="WR",H50*1,0)</f>
        <v>0</v>
      </c>
      <c r="L50">
        <f>IF(B50="TE",H50*1,0)</f>
        <v>0</v>
      </c>
      <c r="M50">
        <f>IF(B50="DST",H50*1,0)</f>
        <v>0</v>
      </c>
      <c r="X50" s="11">
        <f t="shared" si="0"/>
        <v>1</v>
      </c>
      <c r="Y50" s="9">
        <v>49</v>
      </c>
      <c r="Z50" s="12">
        <f t="shared" si="1"/>
        <v>0</v>
      </c>
      <c r="AK50" t="e" cm="1">
        <f t="array" ref="AK50">_xlfn.IFS(VLOOKUP(AA50,$A$2:$B$1048576,2,FALSE)="QB",AA50,VLOOKUP(AB50,$A$2:$B$1048576,2,FALSE)="QB",AB50,VLOOKUP(AC50,$A$2:$B$1048576,2,FALSE)="QB",AC50,VLOOKUP(AD50,$A$2:$B$1048576,2,FALSE)="QB",AD50,VLOOKUP(AE50,$A$2:$B$1048576,2,FALSE)="QB",AE50,VLOOKUP(AF50,$A$2:$B$1048576,2,FALSE)="QB",AF50,VLOOKUP(AG50,$A$2:$B$1048576,2,FALSE)="QB",AG50,VLOOKUP(AH50,$A$2:$B$1048576,2,FALSE)="QB",AH50,VLOOKUP(AI50,$A$2:$B$1048576,2,FALSE)="QB",AI50)</f>
        <v>#N/A</v>
      </c>
      <c r="AL50" t="e" cm="1">
        <f t="array" ref="AL50">_xlfn.IFS(VLOOKUP(AA50,$A$2:$B$1048576,2,FALSE)="RB",AA50,VLOOKUP(AB50,$A$2:$B$1048576,2,FALSE)="RB",AB50,VLOOKUP(AC50,$A$2:$B$1048576,2,FALSE)="RB",AC50,VLOOKUP(AD50,$A$2:$B$1048576,2,FALSE)="RB",AD50,VLOOKUP(AE50,$A$2:$B$1048576,2,FALSE)="RB",AE50,VLOOKUP(AF50,$A$2:$B$1048576,2,FALSE)="RB",AF50,VLOOKUP(AG50,$A$2:$B$1048576,2,FALSE)="RB",AG50,VLOOKUP(AH50,$A$2:$B$1048576,2,FALSE)="RB",AH50,VLOOKUP(AI50,$A$2:$B$1048576,2,FALSE)="RB",AI50)</f>
        <v>#N/A</v>
      </c>
      <c r="AM50" t="e">
        <f t="shared" si="2"/>
        <v>#N/A</v>
      </c>
      <c r="AN50" t="e" cm="1">
        <f t="array" ref="AN50">_xlfn.IFS(VLOOKUP(AA50,$A$2:$B$1048576,2,FALSE)="WR",AA50,VLOOKUP(AB50,$A$2:$B$1048576,2,FALSE)="WR",AB50,VLOOKUP(AC50,$A$2:$B$1048576,2,FALSE)="WR",AC50,VLOOKUP(AD50,$A$2:$B$1048576,2,FALSE)="WR",AD50,VLOOKUP(AE50,$A$2:$B$1048576,2,FALSE)="WR",AE50,VLOOKUP(AF50,$A$2:$B$1048576,2,FALSE)="WR",AF50,VLOOKUP(AG50,$A$2:$B$1048576,2,FALSE)="WR",AG50,VLOOKUP(AH50,$A$2:$B$1048576,2,FALSE)="WR",AH50,VLOOKUP(AI50,$A$2:$B$1048576,2,FALSE)="WR",AI50)</f>
        <v>#N/A</v>
      </c>
      <c r="AO50" t="e">
        <f t="shared" si="3"/>
        <v>#N/A</v>
      </c>
      <c r="AP50" t="e">
        <f t="shared" si="4"/>
        <v>#N/A</v>
      </c>
      <c r="AQ50" t="e" cm="1">
        <f t="array" ref="AQ50">_xlfn.IFS(VLOOKUP(AA50,$A$2:$B$1048576,2,FALSE)="TE",AA50,VLOOKUP(AB50,$A$2:$B$1048576,2,FALSE)="TE",AB50,VLOOKUP(AC50,$A$2:$B$1048576,2,FALSE)="TE",AC50,VLOOKUP(AD50,$A$2:$B$1048576,2,FALSE)="TE",AD50,VLOOKUP(AE50,$A$2:$B$1048576,2,FALSE)="TE",AE50,VLOOKUP(AF50,$A$2:$B$1048576,2,FALSE)="TE",AF50,VLOOKUP(AG50,$A$2:$B$1048576,2,FALSE)="TE",AG50,VLOOKUP(AH50,$A$2:$B$1048576,2,FALSE)="TE",AH50,VLOOKUP(AI50,$A$2:$B$1048576,2,FALSE)="TE",AI50)</f>
        <v>#N/A</v>
      </c>
      <c r="AR50" t="e" cm="1">
        <f t="array" ref="AR50">_xlfn.IFS(IF(OR(AA50=AK50,AA50=AL50,AA50=AM50,AA50=AN50,AA50=AO50,AA50=AP50,AA50=AQ50,AA50=AS50),1,0)=0,AA50,IF(OR(AB50=AK50,AB50=AL50,AB50=AM50,AB50=AN50,AB50=AO50,AB50=AP50,AB50=AQ50,AB50=AS50),1,0)=0,AB50,IF(OR(AC50=AK50,AC50=AL50,AC50=AM50,AC50=AN50,AC50=AO50,AC50=AP50,AC50=AQ50,AC50=AS50),1,0)=0,AC50,IF(OR(AD50=AK50,AD50=AL50,AD50=AM50,AD50=AN50,AD50=AO50,AD50=AP50,AD50=AQ50,AD50=AS50),1,0)=0,AD50,IF(OR(AE50=AK50,AE50=AL50,AE50=AM50,AE50=AN50,AE50=AO50,AE50=AP50,AE50=AQ50,AE50=AS50),1,0)=0,AE50,IF(OR(AF50=AK50,AF50=AL50,AF50=AM50,AF50=AN50,AF50=AO50,AF50=AP50,AF50=AQ50,AF50=AS50),1,0)=0,AF50,IF(OR(AG50=AK50,AG50=AL50,AG50=AM50,AG50=AN50,AG50=AO50,AG50=AP50,AG50=AQ50,AG50=AS50),1,0)=0,AG50,IF(OR(AH50=AK50,AH50=AL50,AH50=AM50,AH50=AN50,AH50=AO50,AH50=AP50,AH50=AQ50,AH50=AS50),1,0)=0,AH50,IF(OR(AI50=AK50,AI50=AL50,AI50=AM50,AI50=AN50,AI50=AO50,AI50=AP50,AI50=AQ50,AI50=AS50),1,0)=0,AI50)</f>
        <v>#N/A</v>
      </c>
      <c r="AS50" t="e" cm="1">
        <f t="array" ref="AS50">_xlfn.IFS(VLOOKUP(AA50,$A$2:$B$1048576,2,FALSE)="DST",AA50,VLOOKUP(AB50,$A$2:$B$1048576,2,FALSE)="DST",AB50,VLOOKUP(AC50,$A$2:$B$1048576,2,FALSE)="DST",AC50,VLOOKUP(AD50,$A$2:$B$1048576,2,FALSE)="DST",AD50,VLOOKUP(AE50,$A$2:$B$1048576,2,FALSE)="DST",AE50,VLOOKUP(AF50,$A$2:$B$1048576,2,FALSE)="DST",AF50,VLOOKUP(AG50,$A$2:$B$1048576,2,FALSE)="DST",AG50,VLOOKUP(AH50,$A$2:$B$1048576,2,FALSE)="DST",AH50,VLOOKUP(AI50,$A$2:$B$1048576,2,FALSE)="DST",AI50)</f>
        <v>#N/A</v>
      </c>
    </row>
    <row r="51" spans="1:45" x14ac:dyDescent="0.35">
      <c r="A51" t="s">
        <v>74</v>
      </c>
      <c r="B51" s="11" t="s">
        <v>9</v>
      </c>
      <c r="C51" s="11">
        <v>3900</v>
      </c>
      <c r="D51" s="12">
        <v>9.710617222222222</v>
      </c>
      <c r="E51" s="12">
        <v>9.7128182377525736</v>
      </c>
      <c r="F51" s="12">
        <v>17.081395322376622</v>
      </c>
      <c r="H51" s="11">
        <v>0</v>
      </c>
      <c r="I51">
        <f>IF(B51="QB",H51*1,0)</f>
        <v>0</v>
      </c>
      <c r="J51">
        <f>IF(B51="RB",H51*1,0)</f>
        <v>0</v>
      </c>
      <c r="K51">
        <f>IF(B51="WR",H51*1,0)</f>
        <v>0</v>
      </c>
      <c r="L51">
        <f>IF(B51="TE",H51*1,0)</f>
        <v>0</v>
      </c>
      <c r="M51">
        <f>IF(B51="DST",H51*1,0)</f>
        <v>0</v>
      </c>
      <c r="X51" s="11">
        <f t="shared" si="0"/>
        <v>1</v>
      </c>
      <c r="Y51" s="9">
        <v>50</v>
      </c>
      <c r="Z51" s="12">
        <f t="shared" si="1"/>
        <v>0</v>
      </c>
      <c r="AK51" t="e" cm="1">
        <f t="array" ref="AK51">_xlfn.IFS(VLOOKUP(AA51,$A$2:$B$1048576,2,FALSE)="QB",AA51,VLOOKUP(AB51,$A$2:$B$1048576,2,FALSE)="QB",AB51,VLOOKUP(AC51,$A$2:$B$1048576,2,FALSE)="QB",AC51,VLOOKUP(AD51,$A$2:$B$1048576,2,FALSE)="QB",AD51,VLOOKUP(AE51,$A$2:$B$1048576,2,FALSE)="QB",AE51,VLOOKUP(AF51,$A$2:$B$1048576,2,FALSE)="QB",AF51,VLOOKUP(AG51,$A$2:$B$1048576,2,FALSE)="QB",AG51,VLOOKUP(AH51,$A$2:$B$1048576,2,FALSE)="QB",AH51,VLOOKUP(AI51,$A$2:$B$1048576,2,FALSE)="QB",AI51)</f>
        <v>#N/A</v>
      </c>
      <c r="AL51" t="e" cm="1">
        <f t="array" ref="AL51">_xlfn.IFS(VLOOKUP(AA51,$A$2:$B$1048576,2,FALSE)="RB",AA51,VLOOKUP(AB51,$A$2:$B$1048576,2,FALSE)="RB",AB51,VLOOKUP(AC51,$A$2:$B$1048576,2,FALSE)="RB",AC51,VLOOKUP(AD51,$A$2:$B$1048576,2,FALSE)="RB",AD51,VLOOKUP(AE51,$A$2:$B$1048576,2,FALSE)="RB",AE51,VLOOKUP(AF51,$A$2:$B$1048576,2,FALSE)="RB",AF51,VLOOKUP(AG51,$A$2:$B$1048576,2,FALSE)="RB",AG51,VLOOKUP(AH51,$A$2:$B$1048576,2,FALSE)="RB",AH51,VLOOKUP(AI51,$A$2:$B$1048576,2,FALSE)="RB",AI51)</f>
        <v>#N/A</v>
      </c>
      <c r="AM51" t="e">
        <f t="shared" si="2"/>
        <v>#N/A</v>
      </c>
      <c r="AN51" t="e" cm="1">
        <f t="array" ref="AN51">_xlfn.IFS(VLOOKUP(AA51,$A$2:$B$1048576,2,FALSE)="WR",AA51,VLOOKUP(AB51,$A$2:$B$1048576,2,FALSE)="WR",AB51,VLOOKUP(AC51,$A$2:$B$1048576,2,FALSE)="WR",AC51,VLOOKUP(AD51,$A$2:$B$1048576,2,FALSE)="WR",AD51,VLOOKUP(AE51,$A$2:$B$1048576,2,FALSE)="WR",AE51,VLOOKUP(AF51,$A$2:$B$1048576,2,FALSE)="WR",AF51,VLOOKUP(AG51,$A$2:$B$1048576,2,FALSE)="WR",AG51,VLOOKUP(AH51,$A$2:$B$1048576,2,FALSE)="WR",AH51,VLOOKUP(AI51,$A$2:$B$1048576,2,FALSE)="WR",AI51)</f>
        <v>#N/A</v>
      </c>
      <c r="AO51" t="e">
        <f t="shared" si="3"/>
        <v>#N/A</v>
      </c>
      <c r="AP51" t="e">
        <f t="shared" si="4"/>
        <v>#N/A</v>
      </c>
      <c r="AQ51" t="e" cm="1">
        <f t="array" ref="AQ51">_xlfn.IFS(VLOOKUP(AA51,$A$2:$B$1048576,2,FALSE)="TE",AA51,VLOOKUP(AB51,$A$2:$B$1048576,2,FALSE)="TE",AB51,VLOOKUP(AC51,$A$2:$B$1048576,2,FALSE)="TE",AC51,VLOOKUP(AD51,$A$2:$B$1048576,2,FALSE)="TE",AD51,VLOOKUP(AE51,$A$2:$B$1048576,2,FALSE)="TE",AE51,VLOOKUP(AF51,$A$2:$B$1048576,2,FALSE)="TE",AF51,VLOOKUP(AG51,$A$2:$B$1048576,2,FALSE)="TE",AG51,VLOOKUP(AH51,$A$2:$B$1048576,2,FALSE)="TE",AH51,VLOOKUP(AI51,$A$2:$B$1048576,2,FALSE)="TE",AI51)</f>
        <v>#N/A</v>
      </c>
      <c r="AR51" t="e" cm="1">
        <f t="array" ref="AR51">_xlfn.IFS(IF(OR(AA51=AK51,AA51=AL51,AA51=AM51,AA51=AN51,AA51=AO51,AA51=AP51,AA51=AQ51,AA51=AS51),1,0)=0,AA51,IF(OR(AB51=AK51,AB51=AL51,AB51=AM51,AB51=AN51,AB51=AO51,AB51=AP51,AB51=AQ51,AB51=AS51),1,0)=0,AB51,IF(OR(AC51=AK51,AC51=AL51,AC51=AM51,AC51=AN51,AC51=AO51,AC51=AP51,AC51=AQ51,AC51=AS51),1,0)=0,AC51,IF(OR(AD51=AK51,AD51=AL51,AD51=AM51,AD51=AN51,AD51=AO51,AD51=AP51,AD51=AQ51,AD51=AS51),1,0)=0,AD51,IF(OR(AE51=AK51,AE51=AL51,AE51=AM51,AE51=AN51,AE51=AO51,AE51=AP51,AE51=AQ51,AE51=AS51),1,0)=0,AE51,IF(OR(AF51=AK51,AF51=AL51,AF51=AM51,AF51=AN51,AF51=AO51,AF51=AP51,AF51=AQ51,AF51=AS51),1,0)=0,AF51,IF(OR(AG51=AK51,AG51=AL51,AG51=AM51,AG51=AN51,AG51=AO51,AG51=AP51,AG51=AQ51,AG51=AS51),1,0)=0,AG51,IF(OR(AH51=AK51,AH51=AL51,AH51=AM51,AH51=AN51,AH51=AO51,AH51=AP51,AH51=AQ51,AH51=AS51),1,0)=0,AH51,IF(OR(AI51=AK51,AI51=AL51,AI51=AM51,AI51=AN51,AI51=AO51,AI51=AP51,AI51=AQ51,AI51=AS51),1,0)=0,AI51)</f>
        <v>#N/A</v>
      </c>
      <c r="AS51" t="e" cm="1">
        <f t="array" ref="AS51">_xlfn.IFS(VLOOKUP(AA51,$A$2:$B$1048576,2,FALSE)="DST",AA51,VLOOKUP(AB51,$A$2:$B$1048576,2,FALSE)="DST",AB51,VLOOKUP(AC51,$A$2:$B$1048576,2,FALSE)="DST",AC51,VLOOKUP(AD51,$A$2:$B$1048576,2,FALSE)="DST",AD51,VLOOKUP(AE51,$A$2:$B$1048576,2,FALSE)="DST",AE51,VLOOKUP(AF51,$A$2:$B$1048576,2,FALSE)="DST",AF51,VLOOKUP(AG51,$A$2:$B$1048576,2,FALSE)="DST",AG51,VLOOKUP(AH51,$A$2:$B$1048576,2,FALSE)="DST",AH51,VLOOKUP(AI51,$A$2:$B$1048576,2,FALSE)="DST",AI51)</f>
        <v>#N/A</v>
      </c>
    </row>
    <row r="52" spans="1:45" x14ac:dyDescent="0.35">
      <c r="A52" t="s">
        <v>75</v>
      </c>
      <c r="B52" s="11" t="s">
        <v>9</v>
      </c>
      <c r="C52" s="11">
        <v>5200</v>
      </c>
      <c r="D52" s="12">
        <v>9.7286449999999967</v>
      </c>
      <c r="E52" s="12">
        <v>10.200238764729106</v>
      </c>
      <c r="F52" s="12">
        <v>17.049912628006538</v>
      </c>
      <c r="H52" s="11">
        <v>0</v>
      </c>
      <c r="I52">
        <f>IF(B52="QB",H52*1,0)</f>
        <v>0</v>
      </c>
      <c r="J52">
        <f>IF(B52="RB",H52*1,0)</f>
        <v>0</v>
      </c>
      <c r="K52">
        <f>IF(B52="WR",H52*1,0)</f>
        <v>0</v>
      </c>
      <c r="L52">
        <f>IF(B52="TE",H52*1,0)</f>
        <v>0</v>
      </c>
      <c r="M52">
        <f>IF(B52="DST",H52*1,0)</f>
        <v>0</v>
      </c>
      <c r="X52" s="11">
        <f t="shared" si="0"/>
        <v>1</v>
      </c>
      <c r="Y52" s="9">
        <v>51</v>
      </c>
      <c r="Z52" s="12">
        <f t="shared" si="1"/>
        <v>0</v>
      </c>
      <c r="AK52" t="e" cm="1">
        <f t="array" ref="AK52">_xlfn.IFS(VLOOKUP(AA52,$A$2:$B$1048576,2,FALSE)="QB",AA52,VLOOKUP(AB52,$A$2:$B$1048576,2,FALSE)="QB",AB52,VLOOKUP(AC52,$A$2:$B$1048576,2,FALSE)="QB",AC52,VLOOKUP(AD52,$A$2:$B$1048576,2,FALSE)="QB",AD52,VLOOKUP(AE52,$A$2:$B$1048576,2,FALSE)="QB",AE52,VLOOKUP(AF52,$A$2:$B$1048576,2,FALSE)="QB",AF52,VLOOKUP(AG52,$A$2:$B$1048576,2,FALSE)="QB",AG52,VLOOKUP(AH52,$A$2:$B$1048576,2,FALSE)="QB",AH52,VLOOKUP(AI52,$A$2:$B$1048576,2,FALSE)="QB",AI52)</f>
        <v>#N/A</v>
      </c>
      <c r="AL52" t="e" cm="1">
        <f t="array" ref="AL52">_xlfn.IFS(VLOOKUP(AA52,$A$2:$B$1048576,2,FALSE)="RB",AA52,VLOOKUP(AB52,$A$2:$B$1048576,2,FALSE)="RB",AB52,VLOOKUP(AC52,$A$2:$B$1048576,2,FALSE)="RB",AC52,VLOOKUP(AD52,$A$2:$B$1048576,2,FALSE)="RB",AD52,VLOOKUP(AE52,$A$2:$B$1048576,2,FALSE)="RB",AE52,VLOOKUP(AF52,$A$2:$B$1048576,2,FALSE)="RB",AF52,VLOOKUP(AG52,$A$2:$B$1048576,2,FALSE)="RB",AG52,VLOOKUP(AH52,$A$2:$B$1048576,2,FALSE)="RB",AH52,VLOOKUP(AI52,$A$2:$B$1048576,2,FALSE)="RB",AI52)</f>
        <v>#N/A</v>
      </c>
      <c r="AM52" t="e">
        <f t="shared" si="2"/>
        <v>#N/A</v>
      </c>
      <c r="AN52" t="e" cm="1">
        <f t="array" ref="AN52">_xlfn.IFS(VLOOKUP(AA52,$A$2:$B$1048576,2,FALSE)="WR",AA52,VLOOKUP(AB52,$A$2:$B$1048576,2,FALSE)="WR",AB52,VLOOKUP(AC52,$A$2:$B$1048576,2,FALSE)="WR",AC52,VLOOKUP(AD52,$A$2:$B$1048576,2,FALSE)="WR",AD52,VLOOKUP(AE52,$A$2:$B$1048576,2,FALSE)="WR",AE52,VLOOKUP(AF52,$A$2:$B$1048576,2,FALSE)="WR",AF52,VLOOKUP(AG52,$A$2:$B$1048576,2,FALSE)="WR",AG52,VLOOKUP(AH52,$A$2:$B$1048576,2,FALSE)="WR",AH52,VLOOKUP(AI52,$A$2:$B$1048576,2,FALSE)="WR",AI52)</f>
        <v>#N/A</v>
      </c>
      <c r="AO52" t="e">
        <f t="shared" si="3"/>
        <v>#N/A</v>
      </c>
      <c r="AP52" t="e">
        <f t="shared" si="4"/>
        <v>#N/A</v>
      </c>
      <c r="AQ52" t="e" cm="1">
        <f t="array" ref="AQ52">_xlfn.IFS(VLOOKUP(AA52,$A$2:$B$1048576,2,FALSE)="TE",AA52,VLOOKUP(AB52,$A$2:$B$1048576,2,FALSE)="TE",AB52,VLOOKUP(AC52,$A$2:$B$1048576,2,FALSE)="TE",AC52,VLOOKUP(AD52,$A$2:$B$1048576,2,FALSE)="TE",AD52,VLOOKUP(AE52,$A$2:$B$1048576,2,FALSE)="TE",AE52,VLOOKUP(AF52,$A$2:$B$1048576,2,FALSE)="TE",AF52,VLOOKUP(AG52,$A$2:$B$1048576,2,FALSE)="TE",AG52,VLOOKUP(AH52,$A$2:$B$1048576,2,FALSE)="TE",AH52,VLOOKUP(AI52,$A$2:$B$1048576,2,FALSE)="TE",AI52)</f>
        <v>#N/A</v>
      </c>
      <c r="AR52" t="e" cm="1">
        <f t="array" ref="AR52">_xlfn.IFS(IF(OR(AA52=AK52,AA52=AL52,AA52=AM52,AA52=AN52,AA52=AO52,AA52=AP52,AA52=AQ52,AA52=AS52),1,0)=0,AA52,IF(OR(AB52=AK52,AB52=AL52,AB52=AM52,AB52=AN52,AB52=AO52,AB52=AP52,AB52=AQ52,AB52=AS52),1,0)=0,AB52,IF(OR(AC52=AK52,AC52=AL52,AC52=AM52,AC52=AN52,AC52=AO52,AC52=AP52,AC52=AQ52,AC52=AS52),1,0)=0,AC52,IF(OR(AD52=AK52,AD52=AL52,AD52=AM52,AD52=AN52,AD52=AO52,AD52=AP52,AD52=AQ52,AD52=AS52),1,0)=0,AD52,IF(OR(AE52=AK52,AE52=AL52,AE52=AM52,AE52=AN52,AE52=AO52,AE52=AP52,AE52=AQ52,AE52=AS52),1,0)=0,AE52,IF(OR(AF52=AK52,AF52=AL52,AF52=AM52,AF52=AN52,AF52=AO52,AF52=AP52,AF52=AQ52,AF52=AS52),1,0)=0,AF52,IF(OR(AG52=AK52,AG52=AL52,AG52=AM52,AG52=AN52,AG52=AO52,AG52=AP52,AG52=AQ52,AG52=AS52),1,0)=0,AG52,IF(OR(AH52=AK52,AH52=AL52,AH52=AM52,AH52=AN52,AH52=AO52,AH52=AP52,AH52=AQ52,AH52=AS52),1,0)=0,AH52,IF(OR(AI52=AK52,AI52=AL52,AI52=AM52,AI52=AN52,AI52=AO52,AI52=AP52,AI52=AQ52,AI52=AS52),1,0)=0,AI52)</f>
        <v>#N/A</v>
      </c>
      <c r="AS52" t="e" cm="1">
        <f t="array" ref="AS52">_xlfn.IFS(VLOOKUP(AA52,$A$2:$B$1048576,2,FALSE)="DST",AA52,VLOOKUP(AB52,$A$2:$B$1048576,2,FALSE)="DST",AB52,VLOOKUP(AC52,$A$2:$B$1048576,2,FALSE)="DST",AC52,VLOOKUP(AD52,$A$2:$B$1048576,2,FALSE)="DST",AD52,VLOOKUP(AE52,$A$2:$B$1048576,2,FALSE)="DST",AE52,VLOOKUP(AF52,$A$2:$B$1048576,2,FALSE)="DST",AF52,VLOOKUP(AG52,$A$2:$B$1048576,2,FALSE)="DST",AG52,VLOOKUP(AH52,$A$2:$B$1048576,2,FALSE)="DST",AH52,VLOOKUP(AI52,$A$2:$B$1048576,2,FALSE)="DST",AI52)</f>
        <v>#N/A</v>
      </c>
    </row>
    <row r="53" spans="1:45" x14ac:dyDescent="0.35">
      <c r="A53" t="s">
        <v>76</v>
      </c>
      <c r="B53" s="11" t="s">
        <v>9</v>
      </c>
      <c r="C53" s="11">
        <v>4700</v>
      </c>
      <c r="D53" s="12">
        <v>9.6866311111111099</v>
      </c>
      <c r="E53" s="12">
        <v>9.7857650904568967</v>
      </c>
      <c r="F53" s="12">
        <v>16.951063849863374</v>
      </c>
      <c r="H53" s="11">
        <v>0</v>
      </c>
      <c r="I53">
        <f>IF(B53="QB",H53*1,0)</f>
        <v>0</v>
      </c>
      <c r="J53">
        <f>IF(B53="RB",H53*1,0)</f>
        <v>0</v>
      </c>
      <c r="K53">
        <f>IF(B53="WR",H53*1,0)</f>
        <v>0</v>
      </c>
      <c r="L53">
        <f>IF(B53="TE",H53*1,0)</f>
        <v>0</v>
      </c>
      <c r="M53">
        <f>IF(B53="DST",H53*1,0)</f>
        <v>0</v>
      </c>
      <c r="X53" s="11">
        <f t="shared" si="0"/>
        <v>1</v>
      </c>
      <c r="Y53" s="9">
        <v>52</v>
      </c>
      <c r="Z53" s="12">
        <f t="shared" si="1"/>
        <v>0</v>
      </c>
      <c r="AK53" t="e" cm="1">
        <f t="array" ref="AK53">_xlfn.IFS(VLOOKUP(AA53,$A$2:$B$1048576,2,FALSE)="QB",AA53,VLOOKUP(AB53,$A$2:$B$1048576,2,FALSE)="QB",AB53,VLOOKUP(AC53,$A$2:$B$1048576,2,FALSE)="QB",AC53,VLOOKUP(AD53,$A$2:$B$1048576,2,FALSE)="QB",AD53,VLOOKUP(AE53,$A$2:$B$1048576,2,FALSE)="QB",AE53,VLOOKUP(AF53,$A$2:$B$1048576,2,FALSE)="QB",AF53,VLOOKUP(AG53,$A$2:$B$1048576,2,FALSE)="QB",AG53,VLOOKUP(AH53,$A$2:$B$1048576,2,FALSE)="QB",AH53,VLOOKUP(AI53,$A$2:$B$1048576,2,FALSE)="QB",AI53)</f>
        <v>#N/A</v>
      </c>
      <c r="AL53" t="e" cm="1">
        <f t="array" ref="AL53">_xlfn.IFS(VLOOKUP(AA53,$A$2:$B$1048576,2,FALSE)="RB",AA53,VLOOKUP(AB53,$A$2:$B$1048576,2,FALSE)="RB",AB53,VLOOKUP(AC53,$A$2:$B$1048576,2,FALSE)="RB",AC53,VLOOKUP(AD53,$A$2:$B$1048576,2,FALSE)="RB",AD53,VLOOKUP(AE53,$A$2:$B$1048576,2,FALSE)="RB",AE53,VLOOKUP(AF53,$A$2:$B$1048576,2,FALSE)="RB",AF53,VLOOKUP(AG53,$A$2:$B$1048576,2,FALSE)="RB",AG53,VLOOKUP(AH53,$A$2:$B$1048576,2,FALSE)="RB",AH53,VLOOKUP(AI53,$A$2:$B$1048576,2,FALSE)="RB",AI53)</f>
        <v>#N/A</v>
      </c>
      <c r="AM53" t="e">
        <f t="shared" si="2"/>
        <v>#N/A</v>
      </c>
      <c r="AN53" t="e" cm="1">
        <f t="array" ref="AN53">_xlfn.IFS(VLOOKUP(AA53,$A$2:$B$1048576,2,FALSE)="WR",AA53,VLOOKUP(AB53,$A$2:$B$1048576,2,FALSE)="WR",AB53,VLOOKUP(AC53,$A$2:$B$1048576,2,FALSE)="WR",AC53,VLOOKUP(AD53,$A$2:$B$1048576,2,FALSE)="WR",AD53,VLOOKUP(AE53,$A$2:$B$1048576,2,FALSE)="WR",AE53,VLOOKUP(AF53,$A$2:$B$1048576,2,FALSE)="WR",AF53,VLOOKUP(AG53,$A$2:$B$1048576,2,FALSE)="WR",AG53,VLOOKUP(AH53,$A$2:$B$1048576,2,FALSE)="WR",AH53,VLOOKUP(AI53,$A$2:$B$1048576,2,FALSE)="WR",AI53)</f>
        <v>#N/A</v>
      </c>
      <c r="AO53" t="e">
        <f t="shared" si="3"/>
        <v>#N/A</v>
      </c>
      <c r="AP53" t="e">
        <f t="shared" si="4"/>
        <v>#N/A</v>
      </c>
      <c r="AQ53" t="e" cm="1">
        <f t="array" ref="AQ53">_xlfn.IFS(VLOOKUP(AA53,$A$2:$B$1048576,2,FALSE)="TE",AA53,VLOOKUP(AB53,$A$2:$B$1048576,2,FALSE)="TE",AB53,VLOOKUP(AC53,$A$2:$B$1048576,2,FALSE)="TE",AC53,VLOOKUP(AD53,$A$2:$B$1048576,2,FALSE)="TE",AD53,VLOOKUP(AE53,$A$2:$B$1048576,2,FALSE)="TE",AE53,VLOOKUP(AF53,$A$2:$B$1048576,2,FALSE)="TE",AF53,VLOOKUP(AG53,$A$2:$B$1048576,2,FALSE)="TE",AG53,VLOOKUP(AH53,$A$2:$B$1048576,2,FALSE)="TE",AH53,VLOOKUP(AI53,$A$2:$B$1048576,2,FALSE)="TE",AI53)</f>
        <v>#N/A</v>
      </c>
      <c r="AR53" t="e" cm="1">
        <f t="array" ref="AR53">_xlfn.IFS(IF(OR(AA53=AK53,AA53=AL53,AA53=AM53,AA53=AN53,AA53=AO53,AA53=AP53,AA53=AQ53,AA53=AS53),1,0)=0,AA53,IF(OR(AB53=AK53,AB53=AL53,AB53=AM53,AB53=AN53,AB53=AO53,AB53=AP53,AB53=AQ53,AB53=AS53),1,0)=0,AB53,IF(OR(AC53=AK53,AC53=AL53,AC53=AM53,AC53=AN53,AC53=AO53,AC53=AP53,AC53=AQ53,AC53=AS53),1,0)=0,AC53,IF(OR(AD53=AK53,AD53=AL53,AD53=AM53,AD53=AN53,AD53=AO53,AD53=AP53,AD53=AQ53,AD53=AS53),1,0)=0,AD53,IF(OR(AE53=AK53,AE53=AL53,AE53=AM53,AE53=AN53,AE53=AO53,AE53=AP53,AE53=AQ53,AE53=AS53),1,0)=0,AE53,IF(OR(AF53=AK53,AF53=AL53,AF53=AM53,AF53=AN53,AF53=AO53,AF53=AP53,AF53=AQ53,AF53=AS53),1,0)=0,AF53,IF(OR(AG53=AK53,AG53=AL53,AG53=AM53,AG53=AN53,AG53=AO53,AG53=AP53,AG53=AQ53,AG53=AS53),1,0)=0,AG53,IF(OR(AH53=AK53,AH53=AL53,AH53=AM53,AH53=AN53,AH53=AO53,AH53=AP53,AH53=AQ53,AH53=AS53),1,0)=0,AH53,IF(OR(AI53=AK53,AI53=AL53,AI53=AM53,AI53=AN53,AI53=AO53,AI53=AP53,AI53=AQ53,AI53=AS53),1,0)=0,AI53)</f>
        <v>#N/A</v>
      </c>
      <c r="AS53" t="e" cm="1">
        <f t="array" ref="AS53">_xlfn.IFS(VLOOKUP(AA53,$A$2:$B$1048576,2,FALSE)="DST",AA53,VLOOKUP(AB53,$A$2:$B$1048576,2,FALSE)="DST",AB53,VLOOKUP(AC53,$A$2:$B$1048576,2,FALSE)="DST",AC53,VLOOKUP(AD53,$A$2:$B$1048576,2,FALSE)="DST",AD53,VLOOKUP(AE53,$A$2:$B$1048576,2,FALSE)="DST",AE53,VLOOKUP(AF53,$A$2:$B$1048576,2,FALSE)="DST",AF53,VLOOKUP(AG53,$A$2:$B$1048576,2,FALSE)="DST",AG53,VLOOKUP(AH53,$A$2:$B$1048576,2,FALSE)="DST",AH53,VLOOKUP(AI53,$A$2:$B$1048576,2,FALSE)="DST",AI53)</f>
        <v>#N/A</v>
      </c>
    </row>
    <row r="54" spans="1:45" x14ac:dyDescent="0.35">
      <c r="A54" t="s">
        <v>77</v>
      </c>
      <c r="B54" s="11" t="s">
        <v>9</v>
      </c>
      <c r="C54" s="11">
        <v>4500</v>
      </c>
      <c r="D54" s="12">
        <v>9.3702838888888884</v>
      </c>
      <c r="E54" s="12">
        <v>9.7335059352368738</v>
      </c>
      <c r="F54" s="12">
        <v>16.012083199071746</v>
      </c>
      <c r="H54" s="11">
        <v>0</v>
      </c>
      <c r="I54">
        <f>IF(B54="QB",H54*1,0)</f>
        <v>0</v>
      </c>
      <c r="J54">
        <f>IF(B54="RB",H54*1,0)</f>
        <v>0</v>
      </c>
      <c r="K54">
        <f>IF(B54="WR",H54*1,0)</f>
        <v>0</v>
      </c>
      <c r="L54">
        <f>IF(B54="TE",H54*1,0)</f>
        <v>0</v>
      </c>
      <c r="M54">
        <f>IF(B54="DST",H54*1,0)</f>
        <v>0</v>
      </c>
      <c r="X54" s="11">
        <f t="shared" si="0"/>
        <v>1</v>
      </c>
      <c r="Y54" s="9">
        <v>53</v>
      </c>
      <c r="Z54" s="12">
        <f t="shared" si="1"/>
        <v>0</v>
      </c>
      <c r="AK54" t="e" cm="1">
        <f t="array" ref="AK54">_xlfn.IFS(VLOOKUP(AA54,$A$2:$B$1048576,2,FALSE)="QB",AA54,VLOOKUP(AB54,$A$2:$B$1048576,2,FALSE)="QB",AB54,VLOOKUP(AC54,$A$2:$B$1048576,2,FALSE)="QB",AC54,VLOOKUP(AD54,$A$2:$B$1048576,2,FALSE)="QB",AD54,VLOOKUP(AE54,$A$2:$B$1048576,2,FALSE)="QB",AE54,VLOOKUP(AF54,$A$2:$B$1048576,2,FALSE)="QB",AF54,VLOOKUP(AG54,$A$2:$B$1048576,2,FALSE)="QB",AG54,VLOOKUP(AH54,$A$2:$B$1048576,2,FALSE)="QB",AH54,VLOOKUP(AI54,$A$2:$B$1048576,2,FALSE)="QB",AI54)</f>
        <v>#N/A</v>
      </c>
      <c r="AL54" t="e" cm="1">
        <f t="array" ref="AL54">_xlfn.IFS(VLOOKUP(AA54,$A$2:$B$1048576,2,FALSE)="RB",AA54,VLOOKUP(AB54,$A$2:$B$1048576,2,FALSE)="RB",AB54,VLOOKUP(AC54,$A$2:$B$1048576,2,FALSE)="RB",AC54,VLOOKUP(AD54,$A$2:$B$1048576,2,FALSE)="RB",AD54,VLOOKUP(AE54,$A$2:$B$1048576,2,FALSE)="RB",AE54,VLOOKUP(AF54,$A$2:$B$1048576,2,FALSE)="RB",AF54,VLOOKUP(AG54,$A$2:$B$1048576,2,FALSE)="RB",AG54,VLOOKUP(AH54,$A$2:$B$1048576,2,FALSE)="RB",AH54,VLOOKUP(AI54,$A$2:$B$1048576,2,FALSE)="RB",AI54)</f>
        <v>#N/A</v>
      </c>
      <c r="AM54" t="e">
        <f t="shared" si="2"/>
        <v>#N/A</v>
      </c>
      <c r="AN54" t="e" cm="1">
        <f t="array" ref="AN54">_xlfn.IFS(VLOOKUP(AA54,$A$2:$B$1048576,2,FALSE)="WR",AA54,VLOOKUP(AB54,$A$2:$B$1048576,2,FALSE)="WR",AB54,VLOOKUP(AC54,$A$2:$B$1048576,2,FALSE)="WR",AC54,VLOOKUP(AD54,$A$2:$B$1048576,2,FALSE)="WR",AD54,VLOOKUP(AE54,$A$2:$B$1048576,2,FALSE)="WR",AE54,VLOOKUP(AF54,$A$2:$B$1048576,2,FALSE)="WR",AF54,VLOOKUP(AG54,$A$2:$B$1048576,2,FALSE)="WR",AG54,VLOOKUP(AH54,$A$2:$B$1048576,2,FALSE)="WR",AH54,VLOOKUP(AI54,$A$2:$B$1048576,2,FALSE)="WR",AI54)</f>
        <v>#N/A</v>
      </c>
      <c r="AO54" t="e">
        <f t="shared" si="3"/>
        <v>#N/A</v>
      </c>
      <c r="AP54" t="e">
        <f t="shared" si="4"/>
        <v>#N/A</v>
      </c>
      <c r="AQ54" t="e" cm="1">
        <f t="array" ref="AQ54">_xlfn.IFS(VLOOKUP(AA54,$A$2:$B$1048576,2,FALSE)="TE",AA54,VLOOKUP(AB54,$A$2:$B$1048576,2,FALSE)="TE",AB54,VLOOKUP(AC54,$A$2:$B$1048576,2,FALSE)="TE",AC54,VLOOKUP(AD54,$A$2:$B$1048576,2,FALSE)="TE",AD54,VLOOKUP(AE54,$A$2:$B$1048576,2,FALSE)="TE",AE54,VLOOKUP(AF54,$A$2:$B$1048576,2,FALSE)="TE",AF54,VLOOKUP(AG54,$A$2:$B$1048576,2,FALSE)="TE",AG54,VLOOKUP(AH54,$A$2:$B$1048576,2,FALSE)="TE",AH54,VLOOKUP(AI54,$A$2:$B$1048576,2,FALSE)="TE",AI54)</f>
        <v>#N/A</v>
      </c>
      <c r="AR54" t="e" cm="1">
        <f t="array" ref="AR54">_xlfn.IFS(IF(OR(AA54=AK54,AA54=AL54,AA54=AM54,AA54=AN54,AA54=AO54,AA54=AP54,AA54=AQ54,AA54=AS54),1,0)=0,AA54,IF(OR(AB54=AK54,AB54=AL54,AB54=AM54,AB54=AN54,AB54=AO54,AB54=AP54,AB54=AQ54,AB54=AS54),1,0)=0,AB54,IF(OR(AC54=AK54,AC54=AL54,AC54=AM54,AC54=AN54,AC54=AO54,AC54=AP54,AC54=AQ54,AC54=AS54),1,0)=0,AC54,IF(OR(AD54=AK54,AD54=AL54,AD54=AM54,AD54=AN54,AD54=AO54,AD54=AP54,AD54=AQ54,AD54=AS54),1,0)=0,AD54,IF(OR(AE54=AK54,AE54=AL54,AE54=AM54,AE54=AN54,AE54=AO54,AE54=AP54,AE54=AQ54,AE54=AS54),1,0)=0,AE54,IF(OR(AF54=AK54,AF54=AL54,AF54=AM54,AF54=AN54,AF54=AO54,AF54=AP54,AF54=AQ54,AF54=AS54),1,0)=0,AF54,IF(OR(AG54=AK54,AG54=AL54,AG54=AM54,AG54=AN54,AG54=AO54,AG54=AP54,AG54=AQ54,AG54=AS54),1,0)=0,AG54,IF(OR(AH54=AK54,AH54=AL54,AH54=AM54,AH54=AN54,AH54=AO54,AH54=AP54,AH54=AQ54,AH54=AS54),1,0)=0,AH54,IF(OR(AI54=AK54,AI54=AL54,AI54=AM54,AI54=AN54,AI54=AO54,AI54=AP54,AI54=AQ54,AI54=AS54),1,0)=0,AI54)</f>
        <v>#N/A</v>
      </c>
      <c r="AS54" t="e" cm="1">
        <f t="array" ref="AS54">_xlfn.IFS(VLOOKUP(AA54,$A$2:$B$1048576,2,FALSE)="DST",AA54,VLOOKUP(AB54,$A$2:$B$1048576,2,FALSE)="DST",AB54,VLOOKUP(AC54,$A$2:$B$1048576,2,FALSE)="DST",AC54,VLOOKUP(AD54,$A$2:$B$1048576,2,FALSE)="DST",AD54,VLOOKUP(AE54,$A$2:$B$1048576,2,FALSE)="DST",AE54,VLOOKUP(AF54,$A$2:$B$1048576,2,FALSE)="DST",AF54,VLOOKUP(AG54,$A$2:$B$1048576,2,FALSE)="DST",AG54,VLOOKUP(AH54,$A$2:$B$1048576,2,FALSE)="DST",AH54,VLOOKUP(AI54,$A$2:$B$1048576,2,FALSE)="DST",AI54)</f>
        <v>#N/A</v>
      </c>
    </row>
    <row r="55" spans="1:45" x14ac:dyDescent="0.35">
      <c r="A55" t="s">
        <v>78</v>
      </c>
      <c r="B55" s="11" t="s">
        <v>9</v>
      </c>
      <c r="C55" s="11">
        <v>4900</v>
      </c>
      <c r="D55" s="12">
        <v>9.0446449999999974</v>
      </c>
      <c r="E55" s="12">
        <v>9.9930662275920206</v>
      </c>
      <c r="F55" s="12">
        <v>15.014633501047758</v>
      </c>
      <c r="H55" s="11">
        <v>0</v>
      </c>
      <c r="I55">
        <f>IF(B55="QB",H55*1,0)</f>
        <v>0</v>
      </c>
      <c r="J55">
        <f>IF(B55="RB",H55*1,0)</f>
        <v>0</v>
      </c>
      <c r="K55">
        <f>IF(B55="WR",H55*1,0)</f>
        <v>0</v>
      </c>
      <c r="L55">
        <f>IF(B55="TE",H55*1,0)</f>
        <v>0</v>
      </c>
      <c r="M55">
        <f>IF(B55="DST",H55*1,0)</f>
        <v>0</v>
      </c>
      <c r="X55" s="11">
        <f t="shared" si="0"/>
        <v>1</v>
      </c>
      <c r="Y55" s="9">
        <v>54</v>
      </c>
      <c r="Z55" s="12">
        <f t="shared" si="1"/>
        <v>0</v>
      </c>
      <c r="AK55" t="e" cm="1">
        <f t="array" ref="AK55">_xlfn.IFS(VLOOKUP(AA55,$A$2:$B$1048576,2,FALSE)="QB",AA55,VLOOKUP(AB55,$A$2:$B$1048576,2,FALSE)="QB",AB55,VLOOKUP(AC55,$A$2:$B$1048576,2,FALSE)="QB",AC55,VLOOKUP(AD55,$A$2:$B$1048576,2,FALSE)="QB",AD55,VLOOKUP(AE55,$A$2:$B$1048576,2,FALSE)="QB",AE55,VLOOKUP(AF55,$A$2:$B$1048576,2,FALSE)="QB",AF55,VLOOKUP(AG55,$A$2:$B$1048576,2,FALSE)="QB",AG55,VLOOKUP(AH55,$A$2:$B$1048576,2,FALSE)="QB",AH55,VLOOKUP(AI55,$A$2:$B$1048576,2,FALSE)="QB",AI55)</f>
        <v>#N/A</v>
      </c>
      <c r="AL55" t="e" cm="1">
        <f t="array" ref="AL55">_xlfn.IFS(VLOOKUP(AA55,$A$2:$B$1048576,2,FALSE)="RB",AA55,VLOOKUP(AB55,$A$2:$B$1048576,2,FALSE)="RB",AB55,VLOOKUP(AC55,$A$2:$B$1048576,2,FALSE)="RB",AC55,VLOOKUP(AD55,$A$2:$B$1048576,2,FALSE)="RB",AD55,VLOOKUP(AE55,$A$2:$B$1048576,2,FALSE)="RB",AE55,VLOOKUP(AF55,$A$2:$B$1048576,2,FALSE)="RB",AF55,VLOOKUP(AG55,$A$2:$B$1048576,2,FALSE)="RB",AG55,VLOOKUP(AH55,$A$2:$B$1048576,2,FALSE)="RB",AH55,VLOOKUP(AI55,$A$2:$B$1048576,2,FALSE)="RB",AI55)</f>
        <v>#N/A</v>
      </c>
      <c r="AM55" t="e">
        <f t="shared" si="2"/>
        <v>#N/A</v>
      </c>
      <c r="AN55" t="e" cm="1">
        <f t="array" ref="AN55">_xlfn.IFS(VLOOKUP(AA55,$A$2:$B$1048576,2,FALSE)="WR",AA55,VLOOKUP(AB55,$A$2:$B$1048576,2,FALSE)="WR",AB55,VLOOKUP(AC55,$A$2:$B$1048576,2,FALSE)="WR",AC55,VLOOKUP(AD55,$A$2:$B$1048576,2,FALSE)="WR",AD55,VLOOKUP(AE55,$A$2:$B$1048576,2,FALSE)="WR",AE55,VLOOKUP(AF55,$A$2:$B$1048576,2,FALSE)="WR",AF55,VLOOKUP(AG55,$A$2:$B$1048576,2,FALSE)="WR",AG55,VLOOKUP(AH55,$A$2:$B$1048576,2,FALSE)="WR",AH55,VLOOKUP(AI55,$A$2:$B$1048576,2,FALSE)="WR",AI55)</f>
        <v>#N/A</v>
      </c>
      <c r="AO55" t="e">
        <f t="shared" si="3"/>
        <v>#N/A</v>
      </c>
      <c r="AP55" t="e">
        <f t="shared" si="4"/>
        <v>#N/A</v>
      </c>
      <c r="AQ55" t="e" cm="1">
        <f t="array" ref="AQ55">_xlfn.IFS(VLOOKUP(AA55,$A$2:$B$1048576,2,FALSE)="TE",AA55,VLOOKUP(AB55,$A$2:$B$1048576,2,FALSE)="TE",AB55,VLOOKUP(AC55,$A$2:$B$1048576,2,FALSE)="TE",AC55,VLOOKUP(AD55,$A$2:$B$1048576,2,FALSE)="TE",AD55,VLOOKUP(AE55,$A$2:$B$1048576,2,FALSE)="TE",AE55,VLOOKUP(AF55,$A$2:$B$1048576,2,FALSE)="TE",AF55,VLOOKUP(AG55,$A$2:$B$1048576,2,FALSE)="TE",AG55,VLOOKUP(AH55,$A$2:$B$1048576,2,FALSE)="TE",AH55,VLOOKUP(AI55,$A$2:$B$1048576,2,FALSE)="TE",AI55)</f>
        <v>#N/A</v>
      </c>
      <c r="AR55" t="e" cm="1">
        <f t="array" ref="AR55">_xlfn.IFS(IF(OR(AA55=AK55,AA55=AL55,AA55=AM55,AA55=AN55,AA55=AO55,AA55=AP55,AA55=AQ55,AA55=AS55),1,0)=0,AA55,IF(OR(AB55=AK55,AB55=AL55,AB55=AM55,AB55=AN55,AB55=AO55,AB55=AP55,AB55=AQ55,AB55=AS55),1,0)=0,AB55,IF(OR(AC55=AK55,AC55=AL55,AC55=AM55,AC55=AN55,AC55=AO55,AC55=AP55,AC55=AQ55,AC55=AS55),1,0)=0,AC55,IF(OR(AD55=AK55,AD55=AL55,AD55=AM55,AD55=AN55,AD55=AO55,AD55=AP55,AD55=AQ55,AD55=AS55),1,0)=0,AD55,IF(OR(AE55=AK55,AE55=AL55,AE55=AM55,AE55=AN55,AE55=AO55,AE55=AP55,AE55=AQ55,AE55=AS55),1,0)=0,AE55,IF(OR(AF55=AK55,AF55=AL55,AF55=AM55,AF55=AN55,AF55=AO55,AF55=AP55,AF55=AQ55,AF55=AS55),1,0)=0,AF55,IF(OR(AG55=AK55,AG55=AL55,AG55=AM55,AG55=AN55,AG55=AO55,AG55=AP55,AG55=AQ55,AG55=AS55),1,0)=0,AG55,IF(OR(AH55=AK55,AH55=AL55,AH55=AM55,AH55=AN55,AH55=AO55,AH55=AP55,AH55=AQ55,AH55=AS55),1,0)=0,AH55,IF(OR(AI55=AK55,AI55=AL55,AI55=AM55,AI55=AN55,AI55=AO55,AI55=AP55,AI55=AQ55,AI55=AS55),1,0)=0,AI55)</f>
        <v>#N/A</v>
      </c>
      <c r="AS55" t="e" cm="1">
        <f t="array" ref="AS55">_xlfn.IFS(VLOOKUP(AA55,$A$2:$B$1048576,2,FALSE)="DST",AA55,VLOOKUP(AB55,$A$2:$B$1048576,2,FALSE)="DST",AB55,VLOOKUP(AC55,$A$2:$B$1048576,2,FALSE)="DST",AC55,VLOOKUP(AD55,$A$2:$B$1048576,2,FALSE)="DST",AD55,VLOOKUP(AE55,$A$2:$B$1048576,2,FALSE)="DST",AE55,VLOOKUP(AF55,$A$2:$B$1048576,2,FALSE)="DST",AF55,VLOOKUP(AG55,$A$2:$B$1048576,2,FALSE)="DST",AG55,VLOOKUP(AH55,$A$2:$B$1048576,2,FALSE)="DST",AH55,VLOOKUP(AI55,$A$2:$B$1048576,2,FALSE)="DST",AI55)</f>
        <v>#N/A</v>
      </c>
    </row>
    <row r="56" spans="1:45" x14ac:dyDescent="0.35">
      <c r="A56" t="s">
        <v>79</v>
      </c>
      <c r="B56" s="11" t="s">
        <v>9</v>
      </c>
      <c r="C56" s="11">
        <v>4000</v>
      </c>
      <c r="D56" s="12">
        <v>8.7440338888888878</v>
      </c>
      <c r="E56" s="12">
        <v>9.4082223680761263</v>
      </c>
      <c r="F56" s="12">
        <v>14.158813128466702</v>
      </c>
      <c r="H56" s="11">
        <v>0</v>
      </c>
      <c r="I56">
        <f>IF(B56="QB",H56*1,0)</f>
        <v>0</v>
      </c>
      <c r="J56">
        <f>IF(B56="RB",H56*1,0)</f>
        <v>0</v>
      </c>
      <c r="K56">
        <f>IF(B56="WR",H56*1,0)</f>
        <v>0</v>
      </c>
      <c r="L56">
        <f>IF(B56="TE",H56*1,0)</f>
        <v>0</v>
      </c>
      <c r="M56">
        <f>IF(B56="DST",H56*1,0)</f>
        <v>0</v>
      </c>
      <c r="X56" s="11">
        <f t="shared" si="0"/>
        <v>1</v>
      </c>
      <c r="Y56" s="9">
        <v>55</v>
      </c>
      <c r="Z56" s="12">
        <f t="shared" si="1"/>
        <v>0</v>
      </c>
      <c r="AK56" t="e" cm="1">
        <f t="array" ref="AK56">_xlfn.IFS(VLOOKUP(AA56,$A$2:$B$1048576,2,FALSE)="QB",AA56,VLOOKUP(AB56,$A$2:$B$1048576,2,FALSE)="QB",AB56,VLOOKUP(AC56,$A$2:$B$1048576,2,FALSE)="QB",AC56,VLOOKUP(AD56,$A$2:$B$1048576,2,FALSE)="QB",AD56,VLOOKUP(AE56,$A$2:$B$1048576,2,FALSE)="QB",AE56,VLOOKUP(AF56,$A$2:$B$1048576,2,FALSE)="QB",AF56,VLOOKUP(AG56,$A$2:$B$1048576,2,FALSE)="QB",AG56,VLOOKUP(AH56,$A$2:$B$1048576,2,FALSE)="QB",AH56,VLOOKUP(AI56,$A$2:$B$1048576,2,FALSE)="QB",AI56)</f>
        <v>#N/A</v>
      </c>
      <c r="AL56" t="e" cm="1">
        <f t="array" ref="AL56">_xlfn.IFS(VLOOKUP(AA56,$A$2:$B$1048576,2,FALSE)="RB",AA56,VLOOKUP(AB56,$A$2:$B$1048576,2,FALSE)="RB",AB56,VLOOKUP(AC56,$A$2:$B$1048576,2,FALSE)="RB",AC56,VLOOKUP(AD56,$A$2:$B$1048576,2,FALSE)="RB",AD56,VLOOKUP(AE56,$A$2:$B$1048576,2,FALSE)="RB",AE56,VLOOKUP(AF56,$A$2:$B$1048576,2,FALSE)="RB",AF56,VLOOKUP(AG56,$A$2:$B$1048576,2,FALSE)="RB",AG56,VLOOKUP(AH56,$A$2:$B$1048576,2,FALSE)="RB",AH56,VLOOKUP(AI56,$A$2:$B$1048576,2,FALSE)="RB",AI56)</f>
        <v>#N/A</v>
      </c>
      <c r="AM56" t="e">
        <f t="shared" si="2"/>
        <v>#N/A</v>
      </c>
      <c r="AN56" t="e" cm="1">
        <f t="array" ref="AN56">_xlfn.IFS(VLOOKUP(AA56,$A$2:$B$1048576,2,FALSE)="WR",AA56,VLOOKUP(AB56,$A$2:$B$1048576,2,FALSE)="WR",AB56,VLOOKUP(AC56,$A$2:$B$1048576,2,FALSE)="WR",AC56,VLOOKUP(AD56,$A$2:$B$1048576,2,FALSE)="WR",AD56,VLOOKUP(AE56,$A$2:$B$1048576,2,FALSE)="WR",AE56,VLOOKUP(AF56,$A$2:$B$1048576,2,FALSE)="WR",AF56,VLOOKUP(AG56,$A$2:$B$1048576,2,FALSE)="WR",AG56,VLOOKUP(AH56,$A$2:$B$1048576,2,FALSE)="WR",AH56,VLOOKUP(AI56,$A$2:$B$1048576,2,FALSE)="WR",AI56)</f>
        <v>#N/A</v>
      </c>
      <c r="AO56" t="e">
        <f t="shared" si="3"/>
        <v>#N/A</v>
      </c>
      <c r="AP56" t="e">
        <f t="shared" si="4"/>
        <v>#N/A</v>
      </c>
      <c r="AQ56" t="e" cm="1">
        <f t="array" ref="AQ56">_xlfn.IFS(VLOOKUP(AA56,$A$2:$B$1048576,2,FALSE)="TE",AA56,VLOOKUP(AB56,$A$2:$B$1048576,2,FALSE)="TE",AB56,VLOOKUP(AC56,$A$2:$B$1048576,2,FALSE)="TE",AC56,VLOOKUP(AD56,$A$2:$B$1048576,2,FALSE)="TE",AD56,VLOOKUP(AE56,$A$2:$B$1048576,2,FALSE)="TE",AE56,VLOOKUP(AF56,$A$2:$B$1048576,2,FALSE)="TE",AF56,VLOOKUP(AG56,$A$2:$B$1048576,2,FALSE)="TE",AG56,VLOOKUP(AH56,$A$2:$B$1048576,2,FALSE)="TE",AH56,VLOOKUP(AI56,$A$2:$B$1048576,2,FALSE)="TE",AI56)</f>
        <v>#N/A</v>
      </c>
      <c r="AR56" t="e" cm="1">
        <f t="array" ref="AR56">_xlfn.IFS(IF(OR(AA56=AK56,AA56=AL56,AA56=AM56,AA56=AN56,AA56=AO56,AA56=AP56,AA56=AQ56,AA56=AS56),1,0)=0,AA56,IF(OR(AB56=AK56,AB56=AL56,AB56=AM56,AB56=AN56,AB56=AO56,AB56=AP56,AB56=AQ56,AB56=AS56),1,0)=0,AB56,IF(OR(AC56=AK56,AC56=AL56,AC56=AM56,AC56=AN56,AC56=AO56,AC56=AP56,AC56=AQ56,AC56=AS56),1,0)=0,AC56,IF(OR(AD56=AK56,AD56=AL56,AD56=AM56,AD56=AN56,AD56=AO56,AD56=AP56,AD56=AQ56,AD56=AS56),1,0)=0,AD56,IF(OR(AE56=AK56,AE56=AL56,AE56=AM56,AE56=AN56,AE56=AO56,AE56=AP56,AE56=AQ56,AE56=AS56),1,0)=0,AE56,IF(OR(AF56=AK56,AF56=AL56,AF56=AM56,AF56=AN56,AF56=AO56,AF56=AP56,AF56=AQ56,AF56=AS56),1,0)=0,AF56,IF(OR(AG56=AK56,AG56=AL56,AG56=AM56,AG56=AN56,AG56=AO56,AG56=AP56,AG56=AQ56,AG56=AS56),1,0)=0,AG56,IF(OR(AH56=AK56,AH56=AL56,AH56=AM56,AH56=AN56,AH56=AO56,AH56=AP56,AH56=AQ56,AH56=AS56),1,0)=0,AH56,IF(OR(AI56=AK56,AI56=AL56,AI56=AM56,AI56=AN56,AI56=AO56,AI56=AP56,AI56=AQ56,AI56=AS56),1,0)=0,AI56)</f>
        <v>#N/A</v>
      </c>
      <c r="AS56" t="e" cm="1">
        <f t="array" ref="AS56">_xlfn.IFS(VLOOKUP(AA56,$A$2:$B$1048576,2,FALSE)="DST",AA56,VLOOKUP(AB56,$A$2:$B$1048576,2,FALSE)="DST",AB56,VLOOKUP(AC56,$A$2:$B$1048576,2,FALSE)="DST",AC56,VLOOKUP(AD56,$A$2:$B$1048576,2,FALSE)="DST",AD56,VLOOKUP(AE56,$A$2:$B$1048576,2,FALSE)="DST",AE56,VLOOKUP(AF56,$A$2:$B$1048576,2,FALSE)="DST",AF56,VLOOKUP(AG56,$A$2:$B$1048576,2,FALSE)="DST",AG56,VLOOKUP(AH56,$A$2:$B$1048576,2,FALSE)="DST",AH56,VLOOKUP(AI56,$A$2:$B$1048576,2,FALSE)="DST",AI56)</f>
        <v>#N/A</v>
      </c>
    </row>
    <row r="57" spans="1:45" x14ac:dyDescent="0.35">
      <c r="A57" t="s">
        <v>80</v>
      </c>
      <c r="B57" s="11" t="s">
        <v>9</v>
      </c>
      <c r="C57" s="11">
        <v>4400</v>
      </c>
      <c r="D57" s="12">
        <v>8.6622684722222196</v>
      </c>
      <c r="E57" s="12">
        <v>8.8505593913986651</v>
      </c>
      <c r="F57" s="12">
        <v>13.891905079082051</v>
      </c>
      <c r="H57" s="11">
        <v>0</v>
      </c>
      <c r="I57">
        <f>IF(B57="QB",H57*1,0)</f>
        <v>0</v>
      </c>
      <c r="J57">
        <f>IF(B57="RB",H57*1,0)</f>
        <v>0</v>
      </c>
      <c r="K57">
        <f>IF(B57="WR",H57*1,0)</f>
        <v>0</v>
      </c>
      <c r="L57">
        <f>IF(B57="TE",H57*1,0)</f>
        <v>0</v>
      </c>
      <c r="M57">
        <f>IF(B57="DST",H57*1,0)</f>
        <v>0</v>
      </c>
      <c r="X57" s="11">
        <f t="shared" si="0"/>
        <v>1</v>
      </c>
      <c r="Y57" s="9">
        <v>56</v>
      </c>
      <c r="Z57" s="12">
        <f t="shared" si="1"/>
        <v>0</v>
      </c>
      <c r="AK57" t="e" cm="1">
        <f t="array" ref="AK57">_xlfn.IFS(VLOOKUP(AA57,$A$2:$B$1048576,2,FALSE)="QB",AA57,VLOOKUP(AB57,$A$2:$B$1048576,2,FALSE)="QB",AB57,VLOOKUP(AC57,$A$2:$B$1048576,2,FALSE)="QB",AC57,VLOOKUP(AD57,$A$2:$B$1048576,2,FALSE)="QB",AD57,VLOOKUP(AE57,$A$2:$B$1048576,2,FALSE)="QB",AE57,VLOOKUP(AF57,$A$2:$B$1048576,2,FALSE)="QB",AF57,VLOOKUP(AG57,$A$2:$B$1048576,2,FALSE)="QB",AG57,VLOOKUP(AH57,$A$2:$B$1048576,2,FALSE)="QB",AH57,VLOOKUP(AI57,$A$2:$B$1048576,2,FALSE)="QB",AI57)</f>
        <v>#N/A</v>
      </c>
      <c r="AL57" t="e" cm="1">
        <f t="array" ref="AL57">_xlfn.IFS(VLOOKUP(AA57,$A$2:$B$1048576,2,FALSE)="RB",AA57,VLOOKUP(AB57,$A$2:$B$1048576,2,FALSE)="RB",AB57,VLOOKUP(AC57,$A$2:$B$1048576,2,FALSE)="RB",AC57,VLOOKUP(AD57,$A$2:$B$1048576,2,FALSE)="RB",AD57,VLOOKUP(AE57,$A$2:$B$1048576,2,FALSE)="RB",AE57,VLOOKUP(AF57,$A$2:$B$1048576,2,FALSE)="RB",AF57,VLOOKUP(AG57,$A$2:$B$1048576,2,FALSE)="RB",AG57,VLOOKUP(AH57,$A$2:$B$1048576,2,FALSE)="RB",AH57,VLOOKUP(AI57,$A$2:$B$1048576,2,FALSE)="RB",AI57)</f>
        <v>#N/A</v>
      </c>
      <c r="AM57" t="e">
        <f t="shared" si="2"/>
        <v>#N/A</v>
      </c>
      <c r="AN57" t="e" cm="1">
        <f t="array" ref="AN57">_xlfn.IFS(VLOOKUP(AA57,$A$2:$B$1048576,2,FALSE)="WR",AA57,VLOOKUP(AB57,$A$2:$B$1048576,2,FALSE)="WR",AB57,VLOOKUP(AC57,$A$2:$B$1048576,2,FALSE)="WR",AC57,VLOOKUP(AD57,$A$2:$B$1048576,2,FALSE)="WR",AD57,VLOOKUP(AE57,$A$2:$B$1048576,2,FALSE)="WR",AE57,VLOOKUP(AF57,$A$2:$B$1048576,2,FALSE)="WR",AF57,VLOOKUP(AG57,$A$2:$B$1048576,2,FALSE)="WR",AG57,VLOOKUP(AH57,$A$2:$B$1048576,2,FALSE)="WR",AH57,VLOOKUP(AI57,$A$2:$B$1048576,2,FALSE)="WR",AI57)</f>
        <v>#N/A</v>
      </c>
      <c r="AO57" t="e">
        <f t="shared" si="3"/>
        <v>#N/A</v>
      </c>
      <c r="AP57" t="e">
        <f t="shared" si="4"/>
        <v>#N/A</v>
      </c>
      <c r="AQ57" t="e" cm="1">
        <f t="array" ref="AQ57">_xlfn.IFS(VLOOKUP(AA57,$A$2:$B$1048576,2,FALSE)="TE",AA57,VLOOKUP(AB57,$A$2:$B$1048576,2,FALSE)="TE",AB57,VLOOKUP(AC57,$A$2:$B$1048576,2,FALSE)="TE",AC57,VLOOKUP(AD57,$A$2:$B$1048576,2,FALSE)="TE",AD57,VLOOKUP(AE57,$A$2:$B$1048576,2,FALSE)="TE",AE57,VLOOKUP(AF57,$A$2:$B$1048576,2,FALSE)="TE",AF57,VLOOKUP(AG57,$A$2:$B$1048576,2,FALSE)="TE",AG57,VLOOKUP(AH57,$A$2:$B$1048576,2,FALSE)="TE",AH57,VLOOKUP(AI57,$A$2:$B$1048576,2,FALSE)="TE",AI57)</f>
        <v>#N/A</v>
      </c>
      <c r="AR57" t="e" cm="1">
        <f t="array" ref="AR57">_xlfn.IFS(IF(OR(AA57=AK57,AA57=AL57,AA57=AM57,AA57=AN57,AA57=AO57,AA57=AP57,AA57=AQ57,AA57=AS57),1,0)=0,AA57,IF(OR(AB57=AK57,AB57=AL57,AB57=AM57,AB57=AN57,AB57=AO57,AB57=AP57,AB57=AQ57,AB57=AS57),1,0)=0,AB57,IF(OR(AC57=AK57,AC57=AL57,AC57=AM57,AC57=AN57,AC57=AO57,AC57=AP57,AC57=AQ57,AC57=AS57),1,0)=0,AC57,IF(OR(AD57=AK57,AD57=AL57,AD57=AM57,AD57=AN57,AD57=AO57,AD57=AP57,AD57=AQ57,AD57=AS57),1,0)=0,AD57,IF(OR(AE57=AK57,AE57=AL57,AE57=AM57,AE57=AN57,AE57=AO57,AE57=AP57,AE57=AQ57,AE57=AS57),1,0)=0,AE57,IF(OR(AF57=AK57,AF57=AL57,AF57=AM57,AF57=AN57,AF57=AO57,AF57=AP57,AF57=AQ57,AF57=AS57),1,0)=0,AF57,IF(OR(AG57=AK57,AG57=AL57,AG57=AM57,AG57=AN57,AG57=AO57,AG57=AP57,AG57=AQ57,AG57=AS57),1,0)=0,AG57,IF(OR(AH57=AK57,AH57=AL57,AH57=AM57,AH57=AN57,AH57=AO57,AH57=AP57,AH57=AQ57,AH57=AS57),1,0)=0,AH57,IF(OR(AI57=AK57,AI57=AL57,AI57=AM57,AI57=AN57,AI57=AO57,AI57=AP57,AI57=AQ57,AI57=AS57),1,0)=0,AI57)</f>
        <v>#N/A</v>
      </c>
      <c r="AS57" t="e" cm="1">
        <f t="array" ref="AS57">_xlfn.IFS(VLOOKUP(AA57,$A$2:$B$1048576,2,FALSE)="DST",AA57,VLOOKUP(AB57,$A$2:$B$1048576,2,FALSE)="DST",AB57,VLOOKUP(AC57,$A$2:$B$1048576,2,FALSE)="DST",AC57,VLOOKUP(AD57,$A$2:$B$1048576,2,FALSE)="DST",AD57,VLOOKUP(AE57,$A$2:$B$1048576,2,FALSE)="DST",AE57,VLOOKUP(AF57,$A$2:$B$1048576,2,FALSE)="DST",AF57,VLOOKUP(AG57,$A$2:$B$1048576,2,FALSE)="DST",AG57,VLOOKUP(AH57,$A$2:$B$1048576,2,FALSE)="DST",AH57,VLOOKUP(AI57,$A$2:$B$1048576,2,FALSE)="DST",AI57)</f>
        <v>#N/A</v>
      </c>
    </row>
    <row r="58" spans="1:45" x14ac:dyDescent="0.35">
      <c r="A58" t="s">
        <v>81</v>
      </c>
      <c r="B58" s="11" t="s">
        <v>9</v>
      </c>
      <c r="C58" s="11">
        <v>4200</v>
      </c>
      <c r="D58" s="12">
        <v>8.5937838888888862</v>
      </c>
      <c r="E58" s="12">
        <v>10.638536918344577</v>
      </c>
      <c r="F58" s="12">
        <v>13.696343301512597</v>
      </c>
      <c r="H58" s="11">
        <v>0</v>
      </c>
      <c r="I58">
        <f>IF(B58="QB",H58*1,0)</f>
        <v>0</v>
      </c>
      <c r="J58">
        <f>IF(B58="RB",H58*1,0)</f>
        <v>0</v>
      </c>
      <c r="K58">
        <f>IF(B58="WR",H58*1,0)</f>
        <v>0</v>
      </c>
      <c r="L58">
        <f>IF(B58="TE",H58*1,0)</f>
        <v>0</v>
      </c>
      <c r="M58">
        <f>IF(B58="DST",H58*1,0)</f>
        <v>0</v>
      </c>
      <c r="X58" s="11">
        <f t="shared" si="0"/>
        <v>1</v>
      </c>
      <c r="Y58" s="9">
        <v>57</v>
      </c>
      <c r="Z58" s="12">
        <f t="shared" si="1"/>
        <v>0</v>
      </c>
      <c r="AK58" t="e" cm="1">
        <f t="array" ref="AK58">_xlfn.IFS(VLOOKUP(AA58,$A$2:$B$1048576,2,FALSE)="QB",AA58,VLOOKUP(AB58,$A$2:$B$1048576,2,FALSE)="QB",AB58,VLOOKUP(AC58,$A$2:$B$1048576,2,FALSE)="QB",AC58,VLOOKUP(AD58,$A$2:$B$1048576,2,FALSE)="QB",AD58,VLOOKUP(AE58,$A$2:$B$1048576,2,FALSE)="QB",AE58,VLOOKUP(AF58,$A$2:$B$1048576,2,FALSE)="QB",AF58,VLOOKUP(AG58,$A$2:$B$1048576,2,FALSE)="QB",AG58,VLOOKUP(AH58,$A$2:$B$1048576,2,FALSE)="QB",AH58,VLOOKUP(AI58,$A$2:$B$1048576,2,FALSE)="QB",AI58)</f>
        <v>#N/A</v>
      </c>
      <c r="AL58" t="e" cm="1">
        <f t="array" ref="AL58">_xlfn.IFS(VLOOKUP(AA58,$A$2:$B$1048576,2,FALSE)="RB",AA58,VLOOKUP(AB58,$A$2:$B$1048576,2,FALSE)="RB",AB58,VLOOKUP(AC58,$A$2:$B$1048576,2,FALSE)="RB",AC58,VLOOKUP(AD58,$A$2:$B$1048576,2,FALSE)="RB",AD58,VLOOKUP(AE58,$A$2:$B$1048576,2,FALSE)="RB",AE58,VLOOKUP(AF58,$A$2:$B$1048576,2,FALSE)="RB",AF58,VLOOKUP(AG58,$A$2:$B$1048576,2,FALSE)="RB",AG58,VLOOKUP(AH58,$A$2:$B$1048576,2,FALSE)="RB",AH58,VLOOKUP(AI58,$A$2:$B$1048576,2,FALSE)="RB",AI58)</f>
        <v>#N/A</v>
      </c>
      <c r="AM58" t="e">
        <f t="shared" si="2"/>
        <v>#N/A</v>
      </c>
      <c r="AN58" t="e" cm="1">
        <f t="array" ref="AN58">_xlfn.IFS(VLOOKUP(AA58,$A$2:$B$1048576,2,FALSE)="WR",AA58,VLOOKUP(AB58,$A$2:$B$1048576,2,FALSE)="WR",AB58,VLOOKUP(AC58,$A$2:$B$1048576,2,FALSE)="WR",AC58,VLOOKUP(AD58,$A$2:$B$1048576,2,FALSE)="WR",AD58,VLOOKUP(AE58,$A$2:$B$1048576,2,FALSE)="WR",AE58,VLOOKUP(AF58,$A$2:$B$1048576,2,FALSE)="WR",AF58,VLOOKUP(AG58,$A$2:$B$1048576,2,FALSE)="WR",AG58,VLOOKUP(AH58,$A$2:$B$1048576,2,FALSE)="WR",AH58,VLOOKUP(AI58,$A$2:$B$1048576,2,FALSE)="WR",AI58)</f>
        <v>#N/A</v>
      </c>
      <c r="AO58" t="e">
        <f t="shared" si="3"/>
        <v>#N/A</v>
      </c>
      <c r="AP58" t="e">
        <f t="shared" si="4"/>
        <v>#N/A</v>
      </c>
      <c r="AQ58" t="e" cm="1">
        <f t="array" ref="AQ58">_xlfn.IFS(VLOOKUP(AA58,$A$2:$B$1048576,2,FALSE)="TE",AA58,VLOOKUP(AB58,$A$2:$B$1048576,2,FALSE)="TE",AB58,VLOOKUP(AC58,$A$2:$B$1048576,2,FALSE)="TE",AC58,VLOOKUP(AD58,$A$2:$B$1048576,2,FALSE)="TE",AD58,VLOOKUP(AE58,$A$2:$B$1048576,2,FALSE)="TE",AE58,VLOOKUP(AF58,$A$2:$B$1048576,2,FALSE)="TE",AF58,VLOOKUP(AG58,$A$2:$B$1048576,2,FALSE)="TE",AG58,VLOOKUP(AH58,$A$2:$B$1048576,2,FALSE)="TE",AH58,VLOOKUP(AI58,$A$2:$B$1048576,2,FALSE)="TE",AI58)</f>
        <v>#N/A</v>
      </c>
      <c r="AR58" t="e" cm="1">
        <f t="array" ref="AR58">_xlfn.IFS(IF(OR(AA58=AK58,AA58=AL58,AA58=AM58,AA58=AN58,AA58=AO58,AA58=AP58,AA58=AQ58,AA58=AS58),1,0)=0,AA58,IF(OR(AB58=AK58,AB58=AL58,AB58=AM58,AB58=AN58,AB58=AO58,AB58=AP58,AB58=AQ58,AB58=AS58),1,0)=0,AB58,IF(OR(AC58=AK58,AC58=AL58,AC58=AM58,AC58=AN58,AC58=AO58,AC58=AP58,AC58=AQ58,AC58=AS58),1,0)=0,AC58,IF(OR(AD58=AK58,AD58=AL58,AD58=AM58,AD58=AN58,AD58=AO58,AD58=AP58,AD58=AQ58,AD58=AS58),1,0)=0,AD58,IF(OR(AE58=AK58,AE58=AL58,AE58=AM58,AE58=AN58,AE58=AO58,AE58=AP58,AE58=AQ58,AE58=AS58),1,0)=0,AE58,IF(OR(AF58=AK58,AF58=AL58,AF58=AM58,AF58=AN58,AF58=AO58,AF58=AP58,AF58=AQ58,AF58=AS58),1,0)=0,AF58,IF(OR(AG58=AK58,AG58=AL58,AG58=AM58,AG58=AN58,AG58=AO58,AG58=AP58,AG58=AQ58,AG58=AS58),1,0)=0,AG58,IF(OR(AH58=AK58,AH58=AL58,AH58=AM58,AH58=AN58,AH58=AO58,AH58=AP58,AH58=AQ58,AH58=AS58),1,0)=0,AH58,IF(OR(AI58=AK58,AI58=AL58,AI58=AM58,AI58=AN58,AI58=AO58,AI58=AP58,AI58=AQ58,AI58=AS58),1,0)=0,AI58)</f>
        <v>#N/A</v>
      </c>
      <c r="AS58" t="e" cm="1">
        <f t="array" ref="AS58">_xlfn.IFS(VLOOKUP(AA58,$A$2:$B$1048576,2,FALSE)="DST",AA58,VLOOKUP(AB58,$A$2:$B$1048576,2,FALSE)="DST",AB58,VLOOKUP(AC58,$A$2:$B$1048576,2,FALSE)="DST",AC58,VLOOKUP(AD58,$A$2:$B$1048576,2,FALSE)="DST",AD58,VLOOKUP(AE58,$A$2:$B$1048576,2,FALSE)="DST",AE58,VLOOKUP(AF58,$A$2:$B$1048576,2,FALSE)="DST",AF58,VLOOKUP(AG58,$A$2:$B$1048576,2,FALSE)="DST",AG58,VLOOKUP(AH58,$A$2:$B$1048576,2,FALSE)="DST",AH58,VLOOKUP(AI58,$A$2:$B$1048576,2,FALSE)="DST",AI58)</f>
        <v>#N/A</v>
      </c>
    </row>
    <row r="59" spans="1:45" x14ac:dyDescent="0.35">
      <c r="A59" t="s">
        <v>82</v>
      </c>
      <c r="B59" s="11" t="s">
        <v>9</v>
      </c>
      <c r="C59" s="11">
        <v>4200</v>
      </c>
      <c r="D59" s="12">
        <v>8</v>
      </c>
      <c r="E59" s="12">
        <v>8.0774074698567446</v>
      </c>
      <c r="F59" s="12">
        <v>11.916666666666666</v>
      </c>
      <c r="H59" s="11">
        <v>0</v>
      </c>
      <c r="I59">
        <f>IF(B59="QB",H59*1,0)</f>
        <v>0</v>
      </c>
      <c r="J59">
        <f>IF(B59="RB",H59*1,0)</f>
        <v>0</v>
      </c>
      <c r="K59">
        <f>IF(B59="WR",H59*1,0)</f>
        <v>0</v>
      </c>
      <c r="L59">
        <f>IF(B59="TE",H59*1,0)</f>
        <v>0</v>
      </c>
      <c r="M59">
        <f>IF(B59="DST",H59*1,0)</f>
        <v>0</v>
      </c>
      <c r="X59" s="11">
        <f t="shared" si="0"/>
        <v>1</v>
      </c>
      <c r="Y59" s="9">
        <v>58</v>
      </c>
      <c r="Z59" s="12">
        <f t="shared" si="1"/>
        <v>0</v>
      </c>
      <c r="AK59" t="e" cm="1">
        <f t="array" ref="AK59">_xlfn.IFS(VLOOKUP(AA59,$A$2:$B$1048576,2,FALSE)="QB",AA59,VLOOKUP(AB59,$A$2:$B$1048576,2,FALSE)="QB",AB59,VLOOKUP(AC59,$A$2:$B$1048576,2,FALSE)="QB",AC59,VLOOKUP(AD59,$A$2:$B$1048576,2,FALSE)="QB",AD59,VLOOKUP(AE59,$A$2:$B$1048576,2,FALSE)="QB",AE59,VLOOKUP(AF59,$A$2:$B$1048576,2,FALSE)="QB",AF59,VLOOKUP(AG59,$A$2:$B$1048576,2,FALSE)="QB",AG59,VLOOKUP(AH59,$A$2:$B$1048576,2,FALSE)="QB",AH59,VLOOKUP(AI59,$A$2:$B$1048576,2,FALSE)="QB",AI59)</f>
        <v>#N/A</v>
      </c>
      <c r="AL59" t="e" cm="1">
        <f t="array" ref="AL59">_xlfn.IFS(VLOOKUP(AA59,$A$2:$B$1048576,2,FALSE)="RB",AA59,VLOOKUP(AB59,$A$2:$B$1048576,2,FALSE)="RB",AB59,VLOOKUP(AC59,$A$2:$B$1048576,2,FALSE)="RB",AC59,VLOOKUP(AD59,$A$2:$B$1048576,2,FALSE)="RB",AD59,VLOOKUP(AE59,$A$2:$B$1048576,2,FALSE)="RB",AE59,VLOOKUP(AF59,$A$2:$B$1048576,2,FALSE)="RB",AF59,VLOOKUP(AG59,$A$2:$B$1048576,2,FALSE)="RB",AG59,VLOOKUP(AH59,$A$2:$B$1048576,2,FALSE)="RB",AH59,VLOOKUP(AI59,$A$2:$B$1048576,2,FALSE)="RB",AI59)</f>
        <v>#N/A</v>
      </c>
      <c r="AM59" t="e">
        <f t="shared" si="2"/>
        <v>#N/A</v>
      </c>
      <c r="AN59" t="e" cm="1">
        <f t="array" ref="AN59">_xlfn.IFS(VLOOKUP(AA59,$A$2:$B$1048576,2,FALSE)="WR",AA59,VLOOKUP(AB59,$A$2:$B$1048576,2,FALSE)="WR",AB59,VLOOKUP(AC59,$A$2:$B$1048576,2,FALSE)="WR",AC59,VLOOKUP(AD59,$A$2:$B$1048576,2,FALSE)="WR",AD59,VLOOKUP(AE59,$A$2:$B$1048576,2,FALSE)="WR",AE59,VLOOKUP(AF59,$A$2:$B$1048576,2,FALSE)="WR",AF59,VLOOKUP(AG59,$A$2:$B$1048576,2,FALSE)="WR",AG59,VLOOKUP(AH59,$A$2:$B$1048576,2,FALSE)="WR",AH59,VLOOKUP(AI59,$A$2:$B$1048576,2,FALSE)="WR",AI59)</f>
        <v>#N/A</v>
      </c>
      <c r="AO59" t="e">
        <f t="shared" si="3"/>
        <v>#N/A</v>
      </c>
      <c r="AP59" t="e">
        <f t="shared" si="4"/>
        <v>#N/A</v>
      </c>
      <c r="AQ59" t="e" cm="1">
        <f t="array" ref="AQ59">_xlfn.IFS(VLOOKUP(AA59,$A$2:$B$1048576,2,FALSE)="TE",AA59,VLOOKUP(AB59,$A$2:$B$1048576,2,FALSE)="TE",AB59,VLOOKUP(AC59,$A$2:$B$1048576,2,FALSE)="TE",AC59,VLOOKUP(AD59,$A$2:$B$1048576,2,FALSE)="TE",AD59,VLOOKUP(AE59,$A$2:$B$1048576,2,FALSE)="TE",AE59,VLOOKUP(AF59,$A$2:$B$1048576,2,FALSE)="TE",AF59,VLOOKUP(AG59,$A$2:$B$1048576,2,FALSE)="TE",AG59,VLOOKUP(AH59,$A$2:$B$1048576,2,FALSE)="TE",AH59,VLOOKUP(AI59,$A$2:$B$1048576,2,FALSE)="TE",AI59)</f>
        <v>#N/A</v>
      </c>
      <c r="AR59" t="e" cm="1">
        <f t="array" ref="AR59">_xlfn.IFS(IF(OR(AA59=AK59,AA59=AL59,AA59=AM59,AA59=AN59,AA59=AO59,AA59=AP59,AA59=AQ59,AA59=AS59),1,0)=0,AA59,IF(OR(AB59=AK59,AB59=AL59,AB59=AM59,AB59=AN59,AB59=AO59,AB59=AP59,AB59=AQ59,AB59=AS59),1,0)=0,AB59,IF(OR(AC59=AK59,AC59=AL59,AC59=AM59,AC59=AN59,AC59=AO59,AC59=AP59,AC59=AQ59,AC59=AS59),1,0)=0,AC59,IF(OR(AD59=AK59,AD59=AL59,AD59=AM59,AD59=AN59,AD59=AO59,AD59=AP59,AD59=AQ59,AD59=AS59),1,0)=0,AD59,IF(OR(AE59=AK59,AE59=AL59,AE59=AM59,AE59=AN59,AE59=AO59,AE59=AP59,AE59=AQ59,AE59=AS59),1,0)=0,AE59,IF(OR(AF59=AK59,AF59=AL59,AF59=AM59,AF59=AN59,AF59=AO59,AF59=AP59,AF59=AQ59,AF59=AS59),1,0)=0,AF59,IF(OR(AG59=AK59,AG59=AL59,AG59=AM59,AG59=AN59,AG59=AO59,AG59=AP59,AG59=AQ59,AG59=AS59),1,0)=0,AG59,IF(OR(AH59=AK59,AH59=AL59,AH59=AM59,AH59=AN59,AH59=AO59,AH59=AP59,AH59=AQ59,AH59=AS59),1,0)=0,AH59,IF(OR(AI59=AK59,AI59=AL59,AI59=AM59,AI59=AN59,AI59=AO59,AI59=AP59,AI59=AQ59,AI59=AS59),1,0)=0,AI59)</f>
        <v>#N/A</v>
      </c>
      <c r="AS59" t="e" cm="1">
        <f t="array" ref="AS59">_xlfn.IFS(VLOOKUP(AA59,$A$2:$B$1048576,2,FALSE)="DST",AA59,VLOOKUP(AB59,$A$2:$B$1048576,2,FALSE)="DST",AB59,VLOOKUP(AC59,$A$2:$B$1048576,2,FALSE)="DST",AC59,VLOOKUP(AD59,$A$2:$B$1048576,2,FALSE)="DST",AD59,VLOOKUP(AE59,$A$2:$B$1048576,2,FALSE)="DST",AE59,VLOOKUP(AF59,$A$2:$B$1048576,2,FALSE)="DST",AF59,VLOOKUP(AG59,$A$2:$B$1048576,2,FALSE)="DST",AG59,VLOOKUP(AH59,$A$2:$B$1048576,2,FALSE)="DST",AH59,VLOOKUP(AI59,$A$2:$B$1048576,2,FALSE)="DST",AI59)</f>
        <v>#N/A</v>
      </c>
    </row>
    <row r="60" spans="1:45" x14ac:dyDescent="0.35">
      <c r="A60" t="s">
        <v>83</v>
      </c>
      <c r="B60" s="11" t="s">
        <v>9</v>
      </c>
      <c r="C60" s="11">
        <v>4500</v>
      </c>
      <c r="D60" s="12">
        <v>7.8216727777777768</v>
      </c>
      <c r="E60" s="12">
        <v>7.9714573679589726</v>
      </c>
      <c r="F60" s="12">
        <v>11.372926535255726</v>
      </c>
      <c r="H60" s="11">
        <v>0</v>
      </c>
      <c r="I60">
        <f>IF(B60="QB",H60*1,0)</f>
        <v>0</v>
      </c>
      <c r="J60">
        <f>IF(B60="RB",H60*1,0)</f>
        <v>0</v>
      </c>
      <c r="K60">
        <f>IF(B60="WR",H60*1,0)</f>
        <v>0</v>
      </c>
      <c r="L60">
        <f>IF(B60="TE",H60*1,0)</f>
        <v>0</v>
      </c>
      <c r="M60">
        <f>IF(B60="DST",H60*1,0)</f>
        <v>0</v>
      </c>
      <c r="X60" s="11">
        <f t="shared" si="0"/>
        <v>1</v>
      </c>
      <c r="Y60" s="9">
        <v>59</v>
      </c>
      <c r="Z60" s="12">
        <f t="shared" si="1"/>
        <v>0</v>
      </c>
      <c r="AK60" t="e" cm="1">
        <f t="array" ref="AK60">_xlfn.IFS(VLOOKUP(AA60,$A$2:$B$1048576,2,FALSE)="QB",AA60,VLOOKUP(AB60,$A$2:$B$1048576,2,FALSE)="QB",AB60,VLOOKUP(AC60,$A$2:$B$1048576,2,FALSE)="QB",AC60,VLOOKUP(AD60,$A$2:$B$1048576,2,FALSE)="QB",AD60,VLOOKUP(AE60,$A$2:$B$1048576,2,FALSE)="QB",AE60,VLOOKUP(AF60,$A$2:$B$1048576,2,FALSE)="QB",AF60,VLOOKUP(AG60,$A$2:$B$1048576,2,FALSE)="QB",AG60,VLOOKUP(AH60,$A$2:$B$1048576,2,FALSE)="QB",AH60,VLOOKUP(AI60,$A$2:$B$1048576,2,FALSE)="QB",AI60)</f>
        <v>#N/A</v>
      </c>
      <c r="AL60" t="e" cm="1">
        <f t="array" ref="AL60">_xlfn.IFS(VLOOKUP(AA60,$A$2:$B$1048576,2,FALSE)="RB",AA60,VLOOKUP(AB60,$A$2:$B$1048576,2,FALSE)="RB",AB60,VLOOKUP(AC60,$A$2:$B$1048576,2,FALSE)="RB",AC60,VLOOKUP(AD60,$A$2:$B$1048576,2,FALSE)="RB",AD60,VLOOKUP(AE60,$A$2:$B$1048576,2,FALSE)="RB",AE60,VLOOKUP(AF60,$A$2:$B$1048576,2,FALSE)="RB",AF60,VLOOKUP(AG60,$A$2:$B$1048576,2,FALSE)="RB",AG60,VLOOKUP(AH60,$A$2:$B$1048576,2,FALSE)="RB",AH60,VLOOKUP(AI60,$A$2:$B$1048576,2,FALSE)="RB",AI60)</f>
        <v>#N/A</v>
      </c>
      <c r="AM60" t="e">
        <f t="shared" si="2"/>
        <v>#N/A</v>
      </c>
      <c r="AN60" t="e" cm="1">
        <f t="array" ref="AN60">_xlfn.IFS(VLOOKUP(AA60,$A$2:$B$1048576,2,FALSE)="WR",AA60,VLOOKUP(AB60,$A$2:$B$1048576,2,FALSE)="WR",AB60,VLOOKUP(AC60,$A$2:$B$1048576,2,FALSE)="WR",AC60,VLOOKUP(AD60,$A$2:$B$1048576,2,FALSE)="WR",AD60,VLOOKUP(AE60,$A$2:$B$1048576,2,FALSE)="WR",AE60,VLOOKUP(AF60,$A$2:$B$1048576,2,FALSE)="WR",AF60,VLOOKUP(AG60,$A$2:$B$1048576,2,FALSE)="WR",AG60,VLOOKUP(AH60,$A$2:$B$1048576,2,FALSE)="WR",AH60,VLOOKUP(AI60,$A$2:$B$1048576,2,FALSE)="WR",AI60)</f>
        <v>#N/A</v>
      </c>
      <c r="AO60" t="e">
        <f t="shared" si="3"/>
        <v>#N/A</v>
      </c>
      <c r="AP60" t="e">
        <f t="shared" si="4"/>
        <v>#N/A</v>
      </c>
      <c r="AQ60" t="e" cm="1">
        <f t="array" ref="AQ60">_xlfn.IFS(VLOOKUP(AA60,$A$2:$B$1048576,2,FALSE)="TE",AA60,VLOOKUP(AB60,$A$2:$B$1048576,2,FALSE)="TE",AB60,VLOOKUP(AC60,$A$2:$B$1048576,2,FALSE)="TE",AC60,VLOOKUP(AD60,$A$2:$B$1048576,2,FALSE)="TE",AD60,VLOOKUP(AE60,$A$2:$B$1048576,2,FALSE)="TE",AE60,VLOOKUP(AF60,$A$2:$B$1048576,2,FALSE)="TE",AF60,VLOOKUP(AG60,$A$2:$B$1048576,2,FALSE)="TE",AG60,VLOOKUP(AH60,$A$2:$B$1048576,2,FALSE)="TE",AH60,VLOOKUP(AI60,$A$2:$B$1048576,2,FALSE)="TE",AI60)</f>
        <v>#N/A</v>
      </c>
      <c r="AR60" t="e" cm="1">
        <f t="array" ref="AR60">_xlfn.IFS(IF(OR(AA60=AK60,AA60=AL60,AA60=AM60,AA60=AN60,AA60=AO60,AA60=AP60,AA60=AQ60,AA60=AS60),1,0)=0,AA60,IF(OR(AB60=AK60,AB60=AL60,AB60=AM60,AB60=AN60,AB60=AO60,AB60=AP60,AB60=AQ60,AB60=AS60),1,0)=0,AB60,IF(OR(AC60=AK60,AC60=AL60,AC60=AM60,AC60=AN60,AC60=AO60,AC60=AP60,AC60=AQ60,AC60=AS60),1,0)=0,AC60,IF(OR(AD60=AK60,AD60=AL60,AD60=AM60,AD60=AN60,AD60=AO60,AD60=AP60,AD60=AQ60,AD60=AS60),1,0)=0,AD60,IF(OR(AE60=AK60,AE60=AL60,AE60=AM60,AE60=AN60,AE60=AO60,AE60=AP60,AE60=AQ60,AE60=AS60),1,0)=0,AE60,IF(OR(AF60=AK60,AF60=AL60,AF60=AM60,AF60=AN60,AF60=AO60,AF60=AP60,AF60=AQ60,AF60=AS60),1,0)=0,AF60,IF(OR(AG60=AK60,AG60=AL60,AG60=AM60,AG60=AN60,AG60=AO60,AG60=AP60,AG60=AQ60,AG60=AS60),1,0)=0,AG60,IF(OR(AH60=AK60,AH60=AL60,AH60=AM60,AH60=AN60,AH60=AO60,AH60=AP60,AH60=AQ60,AH60=AS60),1,0)=0,AH60,IF(OR(AI60=AK60,AI60=AL60,AI60=AM60,AI60=AN60,AI60=AO60,AI60=AP60,AI60=AQ60,AI60=AS60),1,0)=0,AI60)</f>
        <v>#N/A</v>
      </c>
      <c r="AS60" t="e" cm="1">
        <f t="array" ref="AS60">_xlfn.IFS(VLOOKUP(AA60,$A$2:$B$1048576,2,FALSE)="DST",AA60,VLOOKUP(AB60,$A$2:$B$1048576,2,FALSE)="DST",AB60,VLOOKUP(AC60,$A$2:$B$1048576,2,FALSE)="DST",AC60,VLOOKUP(AD60,$A$2:$B$1048576,2,FALSE)="DST",AD60,VLOOKUP(AE60,$A$2:$B$1048576,2,FALSE)="DST",AE60,VLOOKUP(AF60,$A$2:$B$1048576,2,FALSE)="DST",AF60,VLOOKUP(AG60,$A$2:$B$1048576,2,FALSE)="DST",AG60,VLOOKUP(AH60,$A$2:$B$1048576,2,FALSE)="DST",AH60,VLOOKUP(AI60,$A$2:$B$1048576,2,FALSE)="DST",AI60)</f>
        <v>#N/A</v>
      </c>
    </row>
    <row r="61" spans="1:45" x14ac:dyDescent="0.35">
      <c r="A61" t="s">
        <v>84</v>
      </c>
      <c r="B61" s="11" t="s">
        <v>9</v>
      </c>
      <c r="C61" s="11">
        <v>3700</v>
      </c>
      <c r="D61" s="12">
        <v>7.7232283333333314</v>
      </c>
      <c r="E61" s="12">
        <v>7.7589967419697921</v>
      </c>
      <c r="F61" s="12">
        <v>11.108542998748064</v>
      </c>
      <c r="H61" s="11">
        <v>0</v>
      </c>
      <c r="I61">
        <f>IF(B61="QB",H61*1,0)</f>
        <v>0</v>
      </c>
      <c r="J61">
        <f>IF(B61="RB",H61*1,0)</f>
        <v>0</v>
      </c>
      <c r="K61">
        <f>IF(B61="WR",H61*1,0)</f>
        <v>0</v>
      </c>
      <c r="L61">
        <f>IF(B61="TE",H61*1,0)</f>
        <v>0</v>
      </c>
      <c r="M61">
        <f>IF(B61="DST",H61*1,0)</f>
        <v>0</v>
      </c>
      <c r="X61" s="11">
        <f t="shared" si="0"/>
        <v>1</v>
      </c>
      <c r="Y61" s="9">
        <v>60</v>
      </c>
      <c r="Z61" s="12">
        <f t="shared" si="1"/>
        <v>0</v>
      </c>
      <c r="AK61" t="e" cm="1">
        <f t="array" ref="AK61">_xlfn.IFS(VLOOKUP(AA61,$A$2:$B$1048576,2,FALSE)="QB",AA61,VLOOKUP(AB61,$A$2:$B$1048576,2,FALSE)="QB",AB61,VLOOKUP(AC61,$A$2:$B$1048576,2,FALSE)="QB",AC61,VLOOKUP(AD61,$A$2:$B$1048576,2,FALSE)="QB",AD61,VLOOKUP(AE61,$A$2:$B$1048576,2,FALSE)="QB",AE61,VLOOKUP(AF61,$A$2:$B$1048576,2,FALSE)="QB",AF61,VLOOKUP(AG61,$A$2:$B$1048576,2,FALSE)="QB",AG61,VLOOKUP(AH61,$A$2:$B$1048576,2,FALSE)="QB",AH61,VLOOKUP(AI61,$A$2:$B$1048576,2,FALSE)="QB",AI61)</f>
        <v>#N/A</v>
      </c>
      <c r="AL61" t="e" cm="1">
        <f t="array" ref="AL61">_xlfn.IFS(VLOOKUP(AA61,$A$2:$B$1048576,2,FALSE)="RB",AA61,VLOOKUP(AB61,$A$2:$B$1048576,2,FALSE)="RB",AB61,VLOOKUP(AC61,$A$2:$B$1048576,2,FALSE)="RB",AC61,VLOOKUP(AD61,$A$2:$B$1048576,2,FALSE)="RB",AD61,VLOOKUP(AE61,$A$2:$B$1048576,2,FALSE)="RB",AE61,VLOOKUP(AF61,$A$2:$B$1048576,2,FALSE)="RB",AF61,VLOOKUP(AG61,$A$2:$B$1048576,2,FALSE)="RB",AG61,VLOOKUP(AH61,$A$2:$B$1048576,2,FALSE)="RB",AH61,VLOOKUP(AI61,$A$2:$B$1048576,2,FALSE)="RB",AI61)</f>
        <v>#N/A</v>
      </c>
      <c r="AM61" t="e">
        <f t="shared" si="2"/>
        <v>#N/A</v>
      </c>
      <c r="AN61" t="e" cm="1">
        <f t="array" ref="AN61">_xlfn.IFS(VLOOKUP(AA61,$A$2:$B$1048576,2,FALSE)="WR",AA61,VLOOKUP(AB61,$A$2:$B$1048576,2,FALSE)="WR",AB61,VLOOKUP(AC61,$A$2:$B$1048576,2,FALSE)="WR",AC61,VLOOKUP(AD61,$A$2:$B$1048576,2,FALSE)="WR",AD61,VLOOKUP(AE61,$A$2:$B$1048576,2,FALSE)="WR",AE61,VLOOKUP(AF61,$A$2:$B$1048576,2,FALSE)="WR",AF61,VLOOKUP(AG61,$A$2:$B$1048576,2,FALSE)="WR",AG61,VLOOKUP(AH61,$A$2:$B$1048576,2,FALSE)="WR",AH61,VLOOKUP(AI61,$A$2:$B$1048576,2,FALSE)="WR",AI61)</f>
        <v>#N/A</v>
      </c>
      <c r="AO61" t="e">
        <f t="shared" si="3"/>
        <v>#N/A</v>
      </c>
      <c r="AP61" t="e">
        <f t="shared" si="4"/>
        <v>#N/A</v>
      </c>
      <c r="AQ61" t="e" cm="1">
        <f t="array" ref="AQ61">_xlfn.IFS(VLOOKUP(AA61,$A$2:$B$1048576,2,FALSE)="TE",AA61,VLOOKUP(AB61,$A$2:$B$1048576,2,FALSE)="TE",AB61,VLOOKUP(AC61,$A$2:$B$1048576,2,FALSE)="TE",AC61,VLOOKUP(AD61,$A$2:$B$1048576,2,FALSE)="TE",AD61,VLOOKUP(AE61,$A$2:$B$1048576,2,FALSE)="TE",AE61,VLOOKUP(AF61,$A$2:$B$1048576,2,FALSE)="TE",AF61,VLOOKUP(AG61,$A$2:$B$1048576,2,FALSE)="TE",AG61,VLOOKUP(AH61,$A$2:$B$1048576,2,FALSE)="TE",AH61,VLOOKUP(AI61,$A$2:$B$1048576,2,FALSE)="TE",AI61)</f>
        <v>#N/A</v>
      </c>
      <c r="AR61" t="e" cm="1">
        <f t="array" ref="AR61">_xlfn.IFS(IF(OR(AA61=AK61,AA61=AL61,AA61=AM61,AA61=AN61,AA61=AO61,AA61=AP61,AA61=AQ61,AA61=AS61),1,0)=0,AA61,IF(OR(AB61=AK61,AB61=AL61,AB61=AM61,AB61=AN61,AB61=AO61,AB61=AP61,AB61=AQ61,AB61=AS61),1,0)=0,AB61,IF(OR(AC61=AK61,AC61=AL61,AC61=AM61,AC61=AN61,AC61=AO61,AC61=AP61,AC61=AQ61,AC61=AS61),1,0)=0,AC61,IF(OR(AD61=AK61,AD61=AL61,AD61=AM61,AD61=AN61,AD61=AO61,AD61=AP61,AD61=AQ61,AD61=AS61),1,0)=0,AD61,IF(OR(AE61=AK61,AE61=AL61,AE61=AM61,AE61=AN61,AE61=AO61,AE61=AP61,AE61=AQ61,AE61=AS61),1,0)=0,AE61,IF(OR(AF61=AK61,AF61=AL61,AF61=AM61,AF61=AN61,AF61=AO61,AF61=AP61,AF61=AQ61,AF61=AS61),1,0)=0,AF61,IF(OR(AG61=AK61,AG61=AL61,AG61=AM61,AG61=AN61,AG61=AO61,AG61=AP61,AG61=AQ61,AG61=AS61),1,0)=0,AG61,IF(OR(AH61=AK61,AH61=AL61,AH61=AM61,AH61=AN61,AH61=AO61,AH61=AP61,AH61=AQ61,AH61=AS61),1,0)=0,AH61,IF(OR(AI61=AK61,AI61=AL61,AI61=AM61,AI61=AN61,AI61=AO61,AI61=AP61,AI61=AQ61,AI61=AS61),1,0)=0,AI61)</f>
        <v>#N/A</v>
      </c>
      <c r="AS61" t="e" cm="1">
        <f t="array" ref="AS61">_xlfn.IFS(VLOOKUP(AA61,$A$2:$B$1048576,2,FALSE)="DST",AA61,VLOOKUP(AB61,$A$2:$B$1048576,2,FALSE)="DST",AB61,VLOOKUP(AC61,$A$2:$B$1048576,2,FALSE)="DST",AC61,VLOOKUP(AD61,$A$2:$B$1048576,2,FALSE)="DST",AD61,VLOOKUP(AE61,$A$2:$B$1048576,2,FALSE)="DST",AE61,VLOOKUP(AF61,$A$2:$B$1048576,2,FALSE)="DST",AF61,VLOOKUP(AG61,$A$2:$B$1048576,2,FALSE)="DST",AG61,VLOOKUP(AH61,$A$2:$B$1048576,2,FALSE)="DST",AH61,VLOOKUP(AI61,$A$2:$B$1048576,2,FALSE)="DST",AI61)</f>
        <v>#N/A</v>
      </c>
    </row>
    <row r="62" spans="1:45" x14ac:dyDescent="0.35">
      <c r="A62" t="s">
        <v>85</v>
      </c>
      <c r="B62" s="11" t="s">
        <v>9</v>
      </c>
      <c r="C62" s="11">
        <v>4100</v>
      </c>
      <c r="D62" s="12">
        <v>7.1028795833333325</v>
      </c>
      <c r="E62" s="12">
        <v>7.2068059267270437</v>
      </c>
      <c r="F62" s="12">
        <v>9.2396543774159881</v>
      </c>
      <c r="H62" s="11">
        <v>0</v>
      </c>
      <c r="I62">
        <f>IF(B62="QB",H62*1,0)</f>
        <v>0</v>
      </c>
      <c r="J62">
        <f>IF(B62="RB",H62*1,0)</f>
        <v>0</v>
      </c>
      <c r="K62">
        <f>IF(B62="WR",H62*1,0)</f>
        <v>0</v>
      </c>
      <c r="L62">
        <f>IF(B62="TE",H62*1,0)</f>
        <v>0</v>
      </c>
      <c r="M62">
        <f>IF(B62="DST",H62*1,0)</f>
        <v>0</v>
      </c>
      <c r="X62" s="11">
        <f t="shared" si="0"/>
        <v>1</v>
      </c>
      <c r="Y62" s="9">
        <v>61</v>
      </c>
      <c r="Z62" s="12">
        <f t="shared" si="1"/>
        <v>0</v>
      </c>
      <c r="AK62" t="e" cm="1">
        <f t="array" ref="AK62">_xlfn.IFS(VLOOKUP(AA62,$A$2:$B$1048576,2,FALSE)="QB",AA62,VLOOKUP(AB62,$A$2:$B$1048576,2,FALSE)="QB",AB62,VLOOKUP(AC62,$A$2:$B$1048576,2,FALSE)="QB",AC62,VLOOKUP(AD62,$A$2:$B$1048576,2,FALSE)="QB",AD62,VLOOKUP(AE62,$A$2:$B$1048576,2,FALSE)="QB",AE62,VLOOKUP(AF62,$A$2:$B$1048576,2,FALSE)="QB",AF62,VLOOKUP(AG62,$A$2:$B$1048576,2,FALSE)="QB",AG62,VLOOKUP(AH62,$A$2:$B$1048576,2,FALSE)="QB",AH62,VLOOKUP(AI62,$A$2:$B$1048576,2,FALSE)="QB",AI62)</f>
        <v>#N/A</v>
      </c>
      <c r="AL62" t="e" cm="1">
        <f t="array" ref="AL62">_xlfn.IFS(VLOOKUP(AA62,$A$2:$B$1048576,2,FALSE)="RB",AA62,VLOOKUP(AB62,$A$2:$B$1048576,2,FALSE)="RB",AB62,VLOOKUP(AC62,$A$2:$B$1048576,2,FALSE)="RB",AC62,VLOOKUP(AD62,$A$2:$B$1048576,2,FALSE)="RB",AD62,VLOOKUP(AE62,$A$2:$B$1048576,2,FALSE)="RB",AE62,VLOOKUP(AF62,$A$2:$B$1048576,2,FALSE)="RB",AF62,VLOOKUP(AG62,$A$2:$B$1048576,2,FALSE)="RB",AG62,VLOOKUP(AH62,$A$2:$B$1048576,2,FALSE)="RB",AH62,VLOOKUP(AI62,$A$2:$B$1048576,2,FALSE)="RB",AI62)</f>
        <v>#N/A</v>
      </c>
      <c r="AM62" t="e">
        <f t="shared" si="2"/>
        <v>#N/A</v>
      </c>
      <c r="AN62" t="e" cm="1">
        <f t="array" ref="AN62">_xlfn.IFS(VLOOKUP(AA62,$A$2:$B$1048576,2,FALSE)="WR",AA62,VLOOKUP(AB62,$A$2:$B$1048576,2,FALSE)="WR",AB62,VLOOKUP(AC62,$A$2:$B$1048576,2,FALSE)="WR",AC62,VLOOKUP(AD62,$A$2:$B$1048576,2,FALSE)="WR",AD62,VLOOKUP(AE62,$A$2:$B$1048576,2,FALSE)="WR",AE62,VLOOKUP(AF62,$A$2:$B$1048576,2,FALSE)="WR",AF62,VLOOKUP(AG62,$A$2:$B$1048576,2,FALSE)="WR",AG62,VLOOKUP(AH62,$A$2:$B$1048576,2,FALSE)="WR",AH62,VLOOKUP(AI62,$A$2:$B$1048576,2,FALSE)="WR",AI62)</f>
        <v>#N/A</v>
      </c>
      <c r="AO62" t="e">
        <f t="shared" si="3"/>
        <v>#N/A</v>
      </c>
      <c r="AP62" t="e">
        <f t="shared" si="4"/>
        <v>#N/A</v>
      </c>
      <c r="AQ62" t="e" cm="1">
        <f t="array" ref="AQ62">_xlfn.IFS(VLOOKUP(AA62,$A$2:$B$1048576,2,FALSE)="TE",AA62,VLOOKUP(AB62,$A$2:$B$1048576,2,FALSE)="TE",AB62,VLOOKUP(AC62,$A$2:$B$1048576,2,FALSE)="TE",AC62,VLOOKUP(AD62,$A$2:$B$1048576,2,FALSE)="TE",AD62,VLOOKUP(AE62,$A$2:$B$1048576,2,FALSE)="TE",AE62,VLOOKUP(AF62,$A$2:$B$1048576,2,FALSE)="TE",AF62,VLOOKUP(AG62,$A$2:$B$1048576,2,FALSE)="TE",AG62,VLOOKUP(AH62,$A$2:$B$1048576,2,FALSE)="TE",AH62,VLOOKUP(AI62,$A$2:$B$1048576,2,FALSE)="TE",AI62)</f>
        <v>#N/A</v>
      </c>
      <c r="AR62" t="e" cm="1">
        <f t="array" ref="AR62">_xlfn.IFS(IF(OR(AA62=AK62,AA62=AL62,AA62=AM62,AA62=AN62,AA62=AO62,AA62=AP62,AA62=AQ62,AA62=AS62),1,0)=0,AA62,IF(OR(AB62=AK62,AB62=AL62,AB62=AM62,AB62=AN62,AB62=AO62,AB62=AP62,AB62=AQ62,AB62=AS62),1,0)=0,AB62,IF(OR(AC62=AK62,AC62=AL62,AC62=AM62,AC62=AN62,AC62=AO62,AC62=AP62,AC62=AQ62,AC62=AS62),1,0)=0,AC62,IF(OR(AD62=AK62,AD62=AL62,AD62=AM62,AD62=AN62,AD62=AO62,AD62=AP62,AD62=AQ62,AD62=AS62),1,0)=0,AD62,IF(OR(AE62=AK62,AE62=AL62,AE62=AM62,AE62=AN62,AE62=AO62,AE62=AP62,AE62=AQ62,AE62=AS62),1,0)=0,AE62,IF(OR(AF62=AK62,AF62=AL62,AF62=AM62,AF62=AN62,AF62=AO62,AF62=AP62,AF62=AQ62,AF62=AS62),1,0)=0,AF62,IF(OR(AG62=AK62,AG62=AL62,AG62=AM62,AG62=AN62,AG62=AO62,AG62=AP62,AG62=AQ62,AG62=AS62),1,0)=0,AG62,IF(OR(AH62=AK62,AH62=AL62,AH62=AM62,AH62=AN62,AH62=AO62,AH62=AP62,AH62=AQ62,AH62=AS62),1,0)=0,AH62,IF(OR(AI62=AK62,AI62=AL62,AI62=AM62,AI62=AN62,AI62=AO62,AI62=AP62,AI62=AQ62,AI62=AS62),1,0)=0,AI62)</f>
        <v>#N/A</v>
      </c>
      <c r="AS62" t="e" cm="1">
        <f t="array" ref="AS62">_xlfn.IFS(VLOOKUP(AA62,$A$2:$B$1048576,2,FALSE)="DST",AA62,VLOOKUP(AB62,$A$2:$B$1048576,2,FALSE)="DST",AB62,VLOOKUP(AC62,$A$2:$B$1048576,2,FALSE)="DST",AC62,VLOOKUP(AD62,$A$2:$B$1048576,2,FALSE)="DST",AD62,VLOOKUP(AE62,$A$2:$B$1048576,2,FALSE)="DST",AE62,VLOOKUP(AF62,$A$2:$B$1048576,2,FALSE)="DST",AF62,VLOOKUP(AG62,$A$2:$B$1048576,2,FALSE)="DST",AG62,VLOOKUP(AH62,$A$2:$B$1048576,2,FALSE)="DST",AH62,VLOOKUP(AI62,$A$2:$B$1048576,2,FALSE)="DST",AI62)</f>
        <v>#N/A</v>
      </c>
    </row>
    <row r="63" spans="1:45" x14ac:dyDescent="0.35">
      <c r="A63" t="s">
        <v>86</v>
      </c>
      <c r="B63" s="11" t="s">
        <v>9</v>
      </c>
      <c r="C63" s="11">
        <v>3200</v>
      </c>
      <c r="D63" s="12">
        <v>6.971726805555555</v>
      </c>
      <c r="E63" s="12">
        <v>7.1785083960439824</v>
      </c>
      <c r="F63" s="12">
        <v>8.8761620166785313</v>
      </c>
      <c r="H63" s="11">
        <v>0</v>
      </c>
      <c r="I63">
        <f>IF(B63="QB",H63*1,0)</f>
        <v>0</v>
      </c>
      <c r="J63">
        <f>IF(B63="RB",H63*1,0)</f>
        <v>0</v>
      </c>
      <c r="K63">
        <f>IF(B63="WR",H63*1,0)</f>
        <v>0</v>
      </c>
      <c r="L63">
        <f>IF(B63="TE",H63*1,0)</f>
        <v>0</v>
      </c>
      <c r="M63">
        <f>IF(B63="DST",H63*1,0)</f>
        <v>0</v>
      </c>
      <c r="X63" s="11">
        <f t="shared" si="0"/>
        <v>1</v>
      </c>
      <c r="Y63" s="9">
        <v>62</v>
      </c>
      <c r="Z63" s="12">
        <f t="shared" si="1"/>
        <v>0</v>
      </c>
      <c r="AK63" t="e" cm="1">
        <f t="array" ref="AK63">_xlfn.IFS(VLOOKUP(AA63,$A$2:$B$1048576,2,FALSE)="QB",AA63,VLOOKUP(AB63,$A$2:$B$1048576,2,FALSE)="QB",AB63,VLOOKUP(AC63,$A$2:$B$1048576,2,FALSE)="QB",AC63,VLOOKUP(AD63,$A$2:$B$1048576,2,FALSE)="QB",AD63,VLOOKUP(AE63,$A$2:$B$1048576,2,FALSE)="QB",AE63,VLOOKUP(AF63,$A$2:$B$1048576,2,FALSE)="QB",AF63,VLOOKUP(AG63,$A$2:$B$1048576,2,FALSE)="QB",AG63,VLOOKUP(AH63,$A$2:$B$1048576,2,FALSE)="QB",AH63,VLOOKUP(AI63,$A$2:$B$1048576,2,FALSE)="QB",AI63)</f>
        <v>#N/A</v>
      </c>
      <c r="AL63" t="e" cm="1">
        <f t="array" ref="AL63">_xlfn.IFS(VLOOKUP(AA63,$A$2:$B$1048576,2,FALSE)="RB",AA63,VLOOKUP(AB63,$A$2:$B$1048576,2,FALSE)="RB",AB63,VLOOKUP(AC63,$A$2:$B$1048576,2,FALSE)="RB",AC63,VLOOKUP(AD63,$A$2:$B$1048576,2,FALSE)="RB",AD63,VLOOKUP(AE63,$A$2:$B$1048576,2,FALSE)="RB",AE63,VLOOKUP(AF63,$A$2:$B$1048576,2,FALSE)="RB",AF63,VLOOKUP(AG63,$A$2:$B$1048576,2,FALSE)="RB",AG63,VLOOKUP(AH63,$A$2:$B$1048576,2,FALSE)="RB",AH63,VLOOKUP(AI63,$A$2:$B$1048576,2,FALSE)="RB",AI63)</f>
        <v>#N/A</v>
      </c>
      <c r="AM63" t="e">
        <f t="shared" si="2"/>
        <v>#N/A</v>
      </c>
      <c r="AN63" t="e" cm="1">
        <f t="array" ref="AN63">_xlfn.IFS(VLOOKUP(AA63,$A$2:$B$1048576,2,FALSE)="WR",AA63,VLOOKUP(AB63,$A$2:$B$1048576,2,FALSE)="WR",AB63,VLOOKUP(AC63,$A$2:$B$1048576,2,FALSE)="WR",AC63,VLOOKUP(AD63,$A$2:$B$1048576,2,FALSE)="WR",AD63,VLOOKUP(AE63,$A$2:$B$1048576,2,FALSE)="WR",AE63,VLOOKUP(AF63,$A$2:$B$1048576,2,FALSE)="WR",AF63,VLOOKUP(AG63,$A$2:$B$1048576,2,FALSE)="WR",AG63,VLOOKUP(AH63,$A$2:$B$1048576,2,FALSE)="WR",AH63,VLOOKUP(AI63,$A$2:$B$1048576,2,FALSE)="WR",AI63)</f>
        <v>#N/A</v>
      </c>
      <c r="AO63" t="e">
        <f t="shared" si="3"/>
        <v>#N/A</v>
      </c>
      <c r="AP63" t="e">
        <f t="shared" si="4"/>
        <v>#N/A</v>
      </c>
      <c r="AQ63" t="e" cm="1">
        <f t="array" ref="AQ63">_xlfn.IFS(VLOOKUP(AA63,$A$2:$B$1048576,2,FALSE)="TE",AA63,VLOOKUP(AB63,$A$2:$B$1048576,2,FALSE)="TE",AB63,VLOOKUP(AC63,$A$2:$B$1048576,2,FALSE)="TE",AC63,VLOOKUP(AD63,$A$2:$B$1048576,2,FALSE)="TE",AD63,VLOOKUP(AE63,$A$2:$B$1048576,2,FALSE)="TE",AE63,VLOOKUP(AF63,$A$2:$B$1048576,2,FALSE)="TE",AF63,VLOOKUP(AG63,$A$2:$B$1048576,2,FALSE)="TE",AG63,VLOOKUP(AH63,$A$2:$B$1048576,2,FALSE)="TE",AH63,VLOOKUP(AI63,$A$2:$B$1048576,2,FALSE)="TE",AI63)</f>
        <v>#N/A</v>
      </c>
      <c r="AR63" t="e" cm="1">
        <f t="array" ref="AR63">_xlfn.IFS(IF(OR(AA63=AK63,AA63=AL63,AA63=AM63,AA63=AN63,AA63=AO63,AA63=AP63,AA63=AQ63,AA63=AS63),1,0)=0,AA63,IF(OR(AB63=AK63,AB63=AL63,AB63=AM63,AB63=AN63,AB63=AO63,AB63=AP63,AB63=AQ63,AB63=AS63),1,0)=0,AB63,IF(OR(AC63=AK63,AC63=AL63,AC63=AM63,AC63=AN63,AC63=AO63,AC63=AP63,AC63=AQ63,AC63=AS63),1,0)=0,AC63,IF(OR(AD63=AK63,AD63=AL63,AD63=AM63,AD63=AN63,AD63=AO63,AD63=AP63,AD63=AQ63,AD63=AS63),1,0)=0,AD63,IF(OR(AE63=AK63,AE63=AL63,AE63=AM63,AE63=AN63,AE63=AO63,AE63=AP63,AE63=AQ63,AE63=AS63),1,0)=0,AE63,IF(OR(AF63=AK63,AF63=AL63,AF63=AM63,AF63=AN63,AF63=AO63,AF63=AP63,AF63=AQ63,AF63=AS63),1,0)=0,AF63,IF(OR(AG63=AK63,AG63=AL63,AG63=AM63,AG63=AN63,AG63=AO63,AG63=AP63,AG63=AQ63,AG63=AS63),1,0)=0,AG63,IF(OR(AH63=AK63,AH63=AL63,AH63=AM63,AH63=AN63,AH63=AO63,AH63=AP63,AH63=AQ63,AH63=AS63),1,0)=0,AH63,IF(OR(AI63=AK63,AI63=AL63,AI63=AM63,AI63=AN63,AI63=AO63,AI63=AP63,AI63=AQ63,AI63=AS63),1,0)=0,AI63)</f>
        <v>#N/A</v>
      </c>
      <c r="AS63" t="e" cm="1">
        <f t="array" ref="AS63">_xlfn.IFS(VLOOKUP(AA63,$A$2:$B$1048576,2,FALSE)="DST",AA63,VLOOKUP(AB63,$A$2:$B$1048576,2,FALSE)="DST",AB63,VLOOKUP(AC63,$A$2:$B$1048576,2,FALSE)="DST",AC63,VLOOKUP(AD63,$A$2:$B$1048576,2,FALSE)="DST",AD63,VLOOKUP(AE63,$A$2:$B$1048576,2,FALSE)="DST",AE63,VLOOKUP(AF63,$A$2:$B$1048576,2,FALSE)="DST",AF63,VLOOKUP(AG63,$A$2:$B$1048576,2,FALSE)="DST",AG63,VLOOKUP(AH63,$A$2:$B$1048576,2,FALSE)="DST",AH63,VLOOKUP(AI63,$A$2:$B$1048576,2,FALSE)="DST",AI63)</f>
        <v>#N/A</v>
      </c>
    </row>
    <row r="64" spans="1:45" x14ac:dyDescent="0.35">
      <c r="A64" t="s">
        <v>87</v>
      </c>
      <c r="B64" s="11" t="s">
        <v>9</v>
      </c>
      <c r="C64" s="11">
        <v>4000</v>
      </c>
      <c r="D64" s="12">
        <v>6.964379583333332</v>
      </c>
      <c r="E64" s="12">
        <v>6.964379583333332</v>
      </c>
      <c r="F64" s="12">
        <v>8.8291954466478266</v>
      </c>
      <c r="H64" s="11">
        <v>0</v>
      </c>
      <c r="I64">
        <f>IF(B64="QB",H64*1,0)</f>
        <v>0</v>
      </c>
      <c r="J64">
        <f>IF(B64="RB",H64*1,0)</f>
        <v>0</v>
      </c>
      <c r="K64">
        <f>IF(B64="WR",H64*1,0)</f>
        <v>0</v>
      </c>
      <c r="L64">
        <f>IF(B64="TE",H64*1,0)</f>
        <v>0</v>
      </c>
      <c r="M64">
        <f>IF(B64="DST",H64*1,0)</f>
        <v>0</v>
      </c>
      <c r="X64" s="11">
        <f t="shared" si="0"/>
        <v>1</v>
      </c>
      <c r="Y64" s="9">
        <v>63</v>
      </c>
      <c r="Z64" s="12">
        <f t="shared" si="1"/>
        <v>0</v>
      </c>
      <c r="AK64" t="e" cm="1">
        <f t="array" ref="AK64">_xlfn.IFS(VLOOKUP(AA64,$A$2:$B$1048576,2,FALSE)="QB",AA64,VLOOKUP(AB64,$A$2:$B$1048576,2,FALSE)="QB",AB64,VLOOKUP(AC64,$A$2:$B$1048576,2,FALSE)="QB",AC64,VLOOKUP(AD64,$A$2:$B$1048576,2,FALSE)="QB",AD64,VLOOKUP(AE64,$A$2:$B$1048576,2,FALSE)="QB",AE64,VLOOKUP(AF64,$A$2:$B$1048576,2,FALSE)="QB",AF64,VLOOKUP(AG64,$A$2:$B$1048576,2,FALSE)="QB",AG64,VLOOKUP(AH64,$A$2:$B$1048576,2,FALSE)="QB",AH64,VLOOKUP(AI64,$A$2:$B$1048576,2,FALSE)="QB",AI64)</f>
        <v>#N/A</v>
      </c>
      <c r="AL64" t="e" cm="1">
        <f t="array" ref="AL64">_xlfn.IFS(VLOOKUP(AA64,$A$2:$B$1048576,2,FALSE)="RB",AA64,VLOOKUP(AB64,$A$2:$B$1048576,2,FALSE)="RB",AB64,VLOOKUP(AC64,$A$2:$B$1048576,2,FALSE)="RB",AC64,VLOOKUP(AD64,$A$2:$B$1048576,2,FALSE)="RB",AD64,VLOOKUP(AE64,$A$2:$B$1048576,2,FALSE)="RB",AE64,VLOOKUP(AF64,$A$2:$B$1048576,2,FALSE)="RB",AF64,VLOOKUP(AG64,$A$2:$B$1048576,2,FALSE)="RB",AG64,VLOOKUP(AH64,$A$2:$B$1048576,2,FALSE)="RB",AH64,VLOOKUP(AI64,$A$2:$B$1048576,2,FALSE)="RB",AI64)</f>
        <v>#N/A</v>
      </c>
      <c r="AM64" t="e">
        <f t="shared" si="2"/>
        <v>#N/A</v>
      </c>
      <c r="AN64" t="e" cm="1">
        <f t="array" ref="AN64">_xlfn.IFS(VLOOKUP(AA64,$A$2:$B$1048576,2,FALSE)="WR",AA64,VLOOKUP(AB64,$A$2:$B$1048576,2,FALSE)="WR",AB64,VLOOKUP(AC64,$A$2:$B$1048576,2,FALSE)="WR",AC64,VLOOKUP(AD64,$A$2:$B$1048576,2,FALSE)="WR",AD64,VLOOKUP(AE64,$A$2:$B$1048576,2,FALSE)="WR",AE64,VLOOKUP(AF64,$A$2:$B$1048576,2,FALSE)="WR",AF64,VLOOKUP(AG64,$A$2:$B$1048576,2,FALSE)="WR",AG64,VLOOKUP(AH64,$A$2:$B$1048576,2,FALSE)="WR",AH64,VLOOKUP(AI64,$A$2:$B$1048576,2,FALSE)="WR",AI64)</f>
        <v>#N/A</v>
      </c>
      <c r="AO64" t="e">
        <f t="shared" si="3"/>
        <v>#N/A</v>
      </c>
      <c r="AP64" t="e">
        <f t="shared" si="4"/>
        <v>#N/A</v>
      </c>
      <c r="AQ64" t="e" cm="1">
        <f t="array" ref="AQ64">_xlfn.IFS(VLOOKUP(AA64,$A$2:$B$1048576,2,FALSE)="TE",AA64,VLOOKUP(AB64,$A$2:$B$1048576,2,FALSE)="TE",AB64,VLOOKUP(AC64,$A$2:$B$1048576,2,FALSE)="TE",AC64,VLOOKUP(AD64,$A$2:$B$1048576,2,FALSE)="TE",AD64,VLOOKUP(AE64,$A$2:$B$1048576,2,FALSE)="TE",AE64,VLOOKUP(AF64,$A$2:$B$1048576,2,FALSE)="TE",AF64,VLOOKUP(AG64,$A$2:$B$1048576,2,FALSE)="TE",AG64,VLOOKUP(AH64,$A$2:$B$1048576,2,FALSE)="TE",AH64,VLOOKUP(AI64,$A$2:$B$1048576,2,FALSE)="TE",AI64)</f>
        <v>#N/A</v>
      </c>
      <c r="AR64" t="e" cm="1">
        <f t="array" ref="AR64">_xlfn.IFS(IF(OR(AA64=AK64,AA64=AL64,AA64=AM64,AA64=AN64,AA64=AO64,AA64=AP64,AA64=AQ64,AA64=AS64),1,0)=0,AA64,IF(OR(AB64=AK64,AB64=AL64,AB64=AM64,AB64=AN64,AB64=AO64,AB64=AP64,AB64=AQ64,AB64=AS64),1,0)=0,AB64,IF(OR(AC64=AK64,AC64=AL64,AC64=AM64,AC64=AN64,AC64=AO64,AC64=AP64,AC64=AQ64,AC64=AS64),1,0)=0,AC64,IF(OR(AD64=AK64,AD64=AL64,AD64=AM64,AD64=AN64,AD64=AO64,AD64=AP64,AD64=AQ64,AD64=AS64),1,0)=0,AD64,IF(OR(AE64=AK64,AE64=AL64,AE64=AM64,AE64=AN64,AE64=AO64,AE64=AP64,AE64=AQ64,AE64=AS64),1,0)=0,AE64,IF(OR(AF64=AK64,AF64=AL64,AF64=AM64,AF64=AN64,AF64=AO64,AF64=AP64,AF64=AQ64,AF64=AS64),1,0)=0,AF64,IF(OR(AG64=AK64,AG64=AL64,AG64=AM64,AG64=AN64,AG64=AO64,AG64=AP64,AG64=AQ64,AG64=AS64),1,0)=0,AG64,IF(OR(AH64=AK64,AH64=AL64,AH64=AM64,AH64=AN64,AH64=AO64,AH64=AP64,AH64=AQ64,AH64=AS64),1,0)=0,AH64,IF(OR(AI64=AK64,AI64=AL64,AI64=AM64,AI64=AN64,AI64=AO64,AI64=AP64,AI64=AQ64,AI64=AS64),1,0)=0,AI64)</f>
        <v>#N/A</v>
      </c>
      <c r="AS64" t="e" cm="1">
        <f t="array" ref="AS64">_xlfn.IFS(VLOOKUP(AA64,$A$2:$B$1048576,2,FALSE)="DST",AA64,VLOOKUP(AB64,$A$2:$B$1048576,2,FALSE)="DST",AB64,VLOOKUP(AC64,$A$2:$B$1048576,2,FALSE)="DST",AC64,VLOOKUP(AD64,$A$2:$B$1048576,2,FALSE)="DST",AD64,VLOOKUP(AE64,$A$2:$B$1048576,2,FALSE)="DST",AE64,VLOOKUP(AF64,$A$2:$B$1048576,2,FALSE)="DST",AF64,VLOOKUP(AG64,$A$2:$B$1048576,2,FALSE)="DST",AG64,VLOOKUP(AH64,$A$2:$B$1048576,2,FALSE)="DST",AH64,VLOOKUP(AI64,$A$2:$B$1048576,2,FALSE)="DST",AI64)</f>
        <v>#N/A</v>
      </c>
    </row>
    <row r="65" spans="1:45" x14ac:dyDescent="0.35">
      <c r="A65" t="s">
        <v>88</v>
      </c>
      <c r="B65" s="11" t="s">
        <v>9</v>
      </c>
      <c r="C65" s="11">
        <v>4200</v>
      </c>
      <c r="D65" s="12">
        <v>6</v>
      </c>
      <c r="E65" s="12">
        <v>6.1603511408987046</v>
      </c>
      <c r="F65" s="12">
        <v>5.958333333333333</v>
      </c>
      <c r="H65" s="11">
        <v>0</v>
      </c>
      <c r="I65">
        <f>IF(B65="QB",H65*1,0)</f>
        <v>0</v>
      </c>
      <c r="J65">
        <f>IF(B65="RB",H65*1,0)</f>
        <v>0</v>
      </c>
      <c r="K65">
        <f>IF(B65="WR",H65*1,0)</f>
        <v>0</v>
      </c>
      <c r="L65">
        <f>IF(B65="TE",H65*1,0)</f>
        <v>0</v>
      </c>
      <c r="M65">
        <f>IF(B65="DST",H65*1,0)</f>
        <v>0</v>
      </c>
      <c r="X65" s="11">
        <f t="shared" si="0"/>
        <v>1</v>
      </c>
      <c r="Y65" s="9">
        <v>64</v>
      </c>
      <c r="Z65" s="12">
        <f t="shared" si="1"/>
        <v>0</v>
      </c>
      <c r="AK65" t="e" cm="1">
        <f t="array" ref="AK65">_xlfn.IFS(VLOOKUP(AA65,$A$2:$B$1048576,2,FALSE)="QB",AA65,VLOOKUP(AB65,$A$2:$B$1048576,2,FALSE)="QB",AB65,VLOOKUP(AC65,$A$2:$B$1048576,2,FALSE)="QB",AC65,VLOOKUP(AD65,$A$2:$B$1048576,2,FALSE)="QB",AD65,VLOOKUP(AE65,$A$2:$B$1048576,2,FALSE)="QB",AE65,VLOOKUP(AF65,$A$2:$B$1048576,2,FALSE)="QB",AF65,VLOOKUP(AG65,$A$2:$B$1048576,2,FALSE)="QB",AG65,VLOOKUP(AH65,$A$2:$B$1048576,2,FALSE)="QB",AH65,VLOOKUP(AI65,$A$2:$B$1048576,2,FALSE)="QB",AI65)</f>
        <v>#N/A</v>
      </c>
      <c r="AL65" t="e" cm="1">
        <f t="array" ref="AL65">_xlfn.IFS(VLOOKUP(AA65,$A$2:$B$1048576,2,FALSE)="RB",AA65,VLOOKUP(AB65,$A$2:$B$1048576,2,FALSE)="RB",AB65,VLOOKUP(AC65,$A$2:$B$1048576,2,FALSE)="RB",AC65,VLOOKUP(AD65,$A$2:$B$1048576,2,FALSE)="RB",AD65,VLOOKUP(AE65,$A$2:$B$1048576,2,FALSE)="RB",AE65,VLOOKUP(AF65,$A$2:$B$1048576,2,FALSE)="RB",AF65,VLOOKUP(AG65,$A$2:$B$1048576,2,FALSE)="RB",AG65,VLOOKUP(AH65,$A$2:$B$1048576,2,FALSE)="RB",AH65,VLOOKUP(AI65,$A$2:$B$1048576,2,FALSE)="RB",AI65)</f>
        <v>#N/A</v>
      </c>
      <c r="AM65" t="e">
        <f t="shared" si="2"/>
        <v>#N/A</v>
      </c>
      <c r="AN65" t="e" cm="1">
        <f t="array" ref="AN65">_xlfn.IFS(VLOOKUP(AA65,$A$2:$B$1048576,2,FALSE)="WR",AA65,VLOOKUP(AB65,$A$2:$B$1048576,2,FALSE)="WR",AB65,VLOOKUP(AC65,$A$2:$B$1048576,2,FALSE)="WR",AC65,VLOOKUP(AD65,$A$2:$B$1048576,2,FALSE)="WR",AD65,VLOOKUP(AE65,$A$2:$B$1048576,2,FALSE)="WR",AE65,VLOOKUP(AF65,$A$2:$B$1048576,2,FALSE)="WR",AF65,VLOOKUP(AG65,$A$2:$B$1048576,2,FALSE)="WR",AG65,VLOOKUP(AH65,$A$2:$B$1048576,2,FALSE)="WR",AH65,VLOOKUP(AI65,$A$2:$B$1048576,2,FALSE)="WR",AI65)</f>
        <v>#N/A</v>
      </c>
      <c r="AO65" t="e">
        <f t="shared" si="3"/>
        <v>#N/A</v>
      </c>
      <c r="AP65" t="e">
        <f t="shared" si="4"/>
        <v>#N/A</v>
      </c>
      <c r="AQ65" t="e" cm="1">
        <f t="array" ref="AQ65">_xlfn.IFS(VLOOKUP(AA65,$A$2:$B$1048576,2,FALSE)="TE",AA65,VLOOKUP(AB65,$A$2:$B$1048576,2,FALSE)="TE",AB65,VLOOKUP(AC65,$A$2:$B$1048576,2,FALSE)="TE",AC65,VLOOKUP(AD65,$A$2:$B$1048576,2,FALSE)="TE",AD65,VLOOKUP(AE65,$A$2:$B$1048576,2,FALSE)="TE",AE65,VLOOKUP(AF65,$A$2:$B$1048576,2,FALSE)="TE",AF65,VLOOKUP(AG65,$A$2:$B$1048576,2,FALSE)="TE",AG65,VLOOKUP(AH65,$A$2:$B$1048576,2,FALSE)="TE",AH65,VLOOKUP(AI65,$A$2:$B$1048576,2,FALSE)="TE",AI65)</f>
        <v>#N/A</v>
      </c>
      <c r="AR65" t="e" cm="1">
        <f t="array" ref="AR65">_xlfn.IFS(IF(OR(AA65=AK65,AA65=AL65,AA65=AM65,AA65=AN65,AA65=AO65,AA65=AP65,AA65=AQ65,AA65=AS65),1,0)=0,AA65,IF(OR(AB65=AK65,AB65=AL65,AB65=AM65,AB65=AN65,AB65=AO65,AB65=AP65,AB65=AQ65,AB65=AS65),1,0)=0,AB65,IF(OR(AC65=AK65,AC65=AL65,AC65=AM65,AC65=AN65,AC65=AO65,AC65=AP65,AC65=AQ65,AC65=AS65),1,0)=0,AC65,IF(OR(AD65=AK65,AD65=AL65,AD65=AM65,AD65=AN65,AD65=AO65,AD65=AP65,AD65=AQ65,AD65=AS65),1,0)=0,AD65,IF(OR(AE65=AK65,AE65=AL65,AE65=AM65,AE65=AN65,AE65=AO65,AE65=AP65,AE65=AQ65,AE65=AS65),1,0)=0,AE65,IF(OR(AF65=AK65,AF65=AL65,AF65=AM65,AF65=AN65,AF65=AO65,AF65=AP65,AF65=AQ65,AF65=AS65),1,0)=0,AF65,IF(OR(AG65=AK65,AG65=AL65,AG65=AM65,AG65=AN65,AG65=AO65,AG65=AP65,AG65=AQ65,AG65=AS65),1,0)=0,AG65,IF(OR(AH65=AK65,AH65=AL65,AH65=AM65,AH65=AN65,AH65=AO65,AH65=AP65,AH65=AQ65,AH65=AS65),1,0)=0,AH65,IF(OR(AI65=AK65,AI65=AL65,AI65=AM65,AI65=AN65,AI65=AO65,AI65=AP65,AI65=AQ65,AI65=AS65),1,0)=0,AI65)</f>
        <v>#N/A</v>
      </c>
      <c r="AS65" t="e" cm="1">
        <f t="array" ref="AS65">_xlfn.IFS(VLOOKUP(AA65,$A$2:$B$1048576,2,FALSE)="DST",AA65,VLOOKUP(AB65,$A$2:$B$1048576,2,FALSE)="DST",AB65,VLOOKUP(AC65,$A$2:$B$1048576,2,FALSE)="DST",AC65,VLOOKUP(AD65,$A$2:$B$1048576,2,FALSE)="DST",AD65,VLOOKUP(AE65,$A$2:$B$1048576,2,FALSE)="DST",AE65,VLOOKUP(AF65,$A$2:$B$1048576,2,FALSE)="DST",AF65,VLOOKUP(AG65,$A$2:$B$1048576,2,FALSE)="DST",AG65,VLOOKUP(AH65,$A$2:$B$1048576,2,FALSE)="DST",AH65,VLOOKUP(AI65,$A$2:$B$1048576,2,FALSE)="DST",AI65)</f>
        <v>#N/A</v>
      </c>
    </row>
    <row r="66" spans="1:45" x14ac:dyDescent="0.35">
      <c r="A66" t="s">
        <v>89</v>
      </c>
      <c r="B66" s="11" t="s">
        <v>9</v>
      </c>
      <c r="C66" s="11">
        <v>3700</v>
      </c>
      <c r="D66" s="12">
        <v>5.9135555555555559</v>
      </c>
      <c r="E66" s="12">
        <v>5.9140787259509393</v>
      </c>
      <c r="F66" s="12">
        <v>5.7071232202758324</v>
      </c>
      <c r="H66" s="11">
        <v>0</v>
      </c>
      <c r="I66">
        <f>IF(B66="QB",H66*1,0)</f>
        <v>0</v>
      </c>
      <c r="J66">
        <f>IF(B66="RB",H66*1,0)</f>
        <v>0</v>
      </c>
      <c r="K66">
        <f>IF(B66="WR",H66*1,0)</f>
        <v>0</v>
      </c>
      <c r="L66">
        <f>IF(B66="TE",H66*1,0)</f>
        <v>0</v>
      </c>
      <c r="M66">
        <f>IF(B66="DST",H66*1,0)</f>
        <v>0</v>
      </c>
      <c r="X66" s="11">
        <f t="shared" ref="X66:X129" si="7">IF(COUNTIF($Z$2:$Z$151,Z66)&gt;1,1,0)</f>
        <v>1</v>
      </c>
      <c r="Y66" s="9">
        <v>65</v>
      </c>
      <c r="Z66" s="12">
        <f t="shared" si="1"/>
        <v>0</v>
      </c>
      <c r="AK66" t="e" cm="1">
        <f t="array" ref="AK66">_xlfn.IFS(VLOOKUP(AA66,$A$2:$B$1048576,2,FALSE)="QB",AA66,VLOOKUP(AB66,$A$2:$B$1048576,2,FALSE)="QB",AB66,VLOOKUP(AC66,$A$2:$B$1048576,2,FALSE)="QB",AC66,VLOOKUP(AD66,$A$2:$B$1048576,2,FALSE)="QB",AD66,VLOOKUP(AE66,$A$2:$B$1048576,2,FALSE)="QB",AE66,VLOOKUP(AF66,$A$2:$B$1048576,2,FALSE)="QB",AF66,VLOOKUP(AG66,$A$2:$B$1048576,2,FALSE)="QB",AG66,VLOOKUP(AH66,$A$2:$B$1048576,2,FALSE)="QB",AH66,VLOOKUP(AI66,$A$2:$B$1048576,2,FALSE)="QB",AI66)</f>
        <v>#N/A</v>
      </c>
      <c r="AL66" t="e" cm="1">
        <f t="array" ref="AL66">_xlfn.IFS(VLOOKUP(AA66,$A$2:$B$1048576,2,FALSE)="RB",AA66,VLOOKUP(AB66,$A$2:$B$1048576,2,FALSE)="RB",AB66,VLOOKUP(AC66,$A$2:$B$1048576,2,FALSE)="RB",AC66,VLOOKUP(AD66,$A$2:$B$1048576,2,FALSE)="RB",AD66,VLOOKUP(AE66,$A$2:$B$1048576,2,FALSE)="RB",AE66,VLOOKUP(AF66,$A$2:$B$1048576,2,FALSE)="RB",AF66,VLOOKUP(AG66,$A$2:$B$1048576,2,FALSE)="RB",AG66,VLOOKUP(AH66,$A$2:$B$1048576,2,FALSE)="RB",AH66,VLOOKUP(AI66,$A$2:$B$1048576,2,FALSE)="RB",AI66)</f>
        <v>#N/A</v>
      </c>
      <c r="AM66" t="e">
        <f t="shared" si="2"/>
        <v>#N/A</v>
      </c>
      <c r="AN66" t="e" cm="1">
        <f t="array" ref="AN66">_xlfn.IFS(VLOOKUP(AA66,$A$2:$B$1048576,2,FALSE)="WR",AA66,VLOOKUP(AB66,$A$2:$B$1048576,2,FALSE)="WR",AB66,VLOOKUP(AC66,$A$2:$B$1048576,2,FALSE)="WR",AC66,VLOOKUP(AD66,$A$2:$B$1048576,2,FALSE)="WR",AD66,VLOOKUP(AE66,$A$2:$B$1048576,2,FALSE)="WR",AE66,VLOOKUP(AF66,$A$2:$B$1048576,2,FALSE)="WR",AF66,VLOOKUP(AG66,$A$2:$B$1048576,2,FALSE)="WR",AG66,VLOOKUP(AH66,$A$2:$B$1048576,2,FALSE)="WR",AH66,VLOOKUP(AI66,$A$2:$B$1048576,2,FALSE)="WR",AI66)</f>
        <v>#N/A</v>
      </c>
      <c r="AO66" t="e">
        <f t="shared" si="3"/>
        <v>#N/A</v>
      </c>
      <c r="AP66" t="e">
        <f t="shared" si="4"/>
        <v>#N/A</v>
      </c>
      <c r="AQ66" t="e" cm="1">
        <f t="array" ref="AQ66">_xlfn.IFS(VLOOKUP(AA66,$A$2:$B$1048576,2,FALSE)="TE",AA66,VLOOKUP(AB66,$A$2:$B$1048576,2,FALSE)="TE",AB66,VLOOKUP(AC66,$A$2:$B$1048576,2,FALSE)="TE",AC66,VLOOKUP(AD66,$A$2:$B$1048576,2,FALSE)="TE",AD66,VLOOKUP(AE66,$A$2:$B$1048576,2,FALSE)="TE",AE66,VLOOKUP(AF66,$A$2:$B$1048576,2,FALSE)="TE",AF66,VLOOKUP(AG66,$A$2:$B$1048576,2,FALSE)="TE",AG66,VLOOKUP(AH66,$A$2:$B$1048576,2,FALSE)="TE",AH66,VLOOKUP(AI66,$A$2:$B$1048576,2,FALSE)="TE",AI66)</f>
        <v>#N/A</v>
      </c>
      <c r="AR66" t="e" cm="1">
        <f t="array" ref="AR66">_xlfn.IFS(IF(OR(AA66=AK66,AA66=AL66,AA66=AM66,AA66=AN66,AA66=AO66,AA66=AP66,AA66=AQ66,AA66=AS66),1,0)=0,AA66,IF(OR(AB66=AK66,AB66=AL66,AB66=AM66,AB66=AN66,AB66=AO66,AB66=AP66,AB66=AQ66,AB66=AS66),1,0)=0,AB66,IF(OR(AC66=AK66,AC66=AL66,AC66=AM66,AC66=AN66,AC66=AO66,AC66=AP66,AC66=AQ66,AC66=AS66),1,0)=0,AC66,IF(OR(AD66=AK66,AD66=AL66,AD66=AM66,AD66=AN66,AD66=AO66,AD66=AP66,AD66=AQ66,AD66=AS66),1,0)=0,AD66,IF(OR(AE66=AK66,AE66=AL66,AE66=AM66,AE66=AN66,AE66=AO66,AE66=AP66,AE66=AQ66,AE66=AS66),1,0)=0,AE66,IF(OR(AF66=AK66,AF66=AL66,AF66=AM66,AF66=AN66,AF66=AO66,AF66=AP66,AF66=AQ66,AF66=AS66),1,0)=0,AF66,IF(OR(AG66=AK66,AG66=AL66,AG66=AM66,AG66=AN66,AG66=AO66,AG66=AP66,AG66=AQ66,AG66=AS66),1,0)=0,AG66,IF(OR(AH66=AK66,AH66=AL66,AH66=AM66,AH66=AN66,AH66=AO66,AH66=AP66,AH66=AQ66,AH66=AS66),1,0)=0,AH66,IF(OR(AI66=AK66,AI66=AL66,AI66=AM66,AI66=AN66,AI66=AO66,AI66=AP66,AI66=AQ66,AI66=AS66),1,0)=0,AI66)</f>
        <v>#N/A</v>
      </c>
      <c r="AS66" t="e" cm="1">
        <f t="array" ref="AS66">_xlfn.IFS(VLOOKUP(AA66,$A$2:$B$1048576,2,FALSE)="DST",AA66,VLOOKUP(AB66,$A$2:$B$1048576,2,FALSE)="DST",AB66,VLOOKUP(AC66,$A$2:$B$1048576,2,FALSE)="DST",AC66,VLOOKUP(AD66,$A$2:$B$1048576,2,FALSE)="DST",AD66,VLOOKUP(AE66,$A$2:$B$1048576,2,FALSE)="DST",AE66,VLOOKUP(AF66,$A$2:$B$1048576,2,FALSE)="DST",AF66,VLOOKUP(AG66,$A$2:$B$1048576,2,FALSE)="DST",AG66,VLOOKUP(AH66,$A$2:$B$1048576,2,FALSE)="DST",AH66,VLOOKUP(AI66,$A$2:$B$1048576,2,FALSE)="DST",AI66)</f>
        <v>#N/A</v>
      </c>
    </row>
    <row r="67" spans="1:45" x14ac:dyDescent="0.35">
      <c r="A67" t="s">
        <v>90</v>
      </c>
      <c r="B67" s="11" t="s">
        <v>9</v>
      </c>
      <c r="C67" s="11">
        <v>3600</v>
      </c>
      <c r="D67" s="12">
        <v>5.7696727777777763</v>
      </c>
      <c r="E67" s="12">
        <v>5.941944947276407</v>
      </c>
      <c r="F67" s="12">
        <v>5.2808573154122493</v>
      </c>
      <c r="H67" s="11">
        <v>0</v>
      </c>
      <c r="I67">
        <f>IF(B67="QB",H67*1,0)</f>
        <v>0</v>
      </c>
      <c r="J67">
        <f>IF(B67="RB",H67*1,0)</f>
        <v>0</v>
      </c>
      <c r="K67">
        <f>IF(B67="WR",H67*1,0)</f>
        <v>0</v>
      </c>
      <c r="L67">
        <f>IF(B67="TE",H67*1,0)</f>
        <v>0</v>
      </c>
      <c r="M67">
        <f>IF(B67="DST",H67*1,0)</f>
        <v>0</v>
      </c>
      <c r="X67" s="11">
        <f t="shared" si="7"/>
        <v>1</v>
      </c>
      <c r="Y67" s="9">
        <v>66</v>
      </c>
      <c r="Z67" s="12">
        <f t="shared" ref="Z67:Z130" si="8">IFERROR(SUM(VLOOKUP(AA67,$A$2:$D$1048576,4,FALSE),VLOOKUP(AB67,$A$2:$D$1048576,4,FALSE),VLOOKUP(AC67,$A$2:$D$1048576,4,FALSE),VLOOKUP(AD67,$A$2:$D$1048576,4,FALSE),VLOOKUP(AE67,$A$2:$D$1048576,4,FALSE),VLOOKUP(AF67,$A$2:$D$1048576,4,FALSE),VLOOKUP(AG67,$A$2:$D$1048576,4,FALSE),VLOOKUP(AH67,$A$2:$D$1048576,4,FALSE),VLOOKUP(AI67,$A$2:$D$1048576,4,FALSE)),0)</f>
        <v>0</v>
      </c>
      <c r="AK67" t="e" cm="1">
        <f t="array" ref="AK67">_xlfn.IFS(VLOOKUP(AA67,$A$2:$B$1048576,2,FALSE)="QB",AA67,VLOOKUP(AB67,$A$2:$B$1048576,2,FALSE)="QB",AB67,VLOOKUP(AC67,$A$2:$B$1048576,2,FALSE)="QB",AC67,VLOOKUP(AD67,$A$2:$B$1048576,2,FALSE)="QB",AD67,VLOOKUP(AE67,$A$2:$B$1048576,2,FALSE)="QB",AE67,VLOOKUP(AF67,$A$2:$B$1048576,2,FALSE)="QB",AF67,VLOOKUP(AG67,$A$2:$B$1048576,2,FALSE)="QB",AG67,VLOOKUP(AH67,$A$2:$B$1048576,2,FALSE)="QB",AH67,VLOOKUP(AI67,$A$2:$B$1048576,2,FALSE)="QB",AI67)</f>
        <v>#N/A</v>
      </c>
      <c r="AL67" t="e" cm="1">
        <f t="array" ref="AL67">_xlfn.IFS(VLOOKUP(AA67,$A$2:$B$1048576,2,FALSE)="RB",AA67,VLOOKUP(AB67,$A$2:$B$1048576,2,FALSE)="RB",AB67,VLOOKUP(AC67,$A$2:$B$1048576,2,FALSE)="RB",AC67,VLOOKUP(AD67,$A$2:$B$1048576,2,FALSE)="RB",AD67,VLOOKUP(AE67,$A$2:$B$1048576,2,FALSE)="RB",AE67,VLOOKUP(AF67,$A$2:$B$1048576,2,FALSE)="RB",AF67,VLOOKUP(AG67,$A$2:$B$1048576,2,FALSE)="RB",AG67,VLOOKUP(AH67,$A$2:$B$1048576,2,FALSE)="RB",AH67,VLOOKUP(AI67,$A$2:$B$1048576,2,FALSE)="RB",AI67)</f>
        <v>#N/A</v>
      </c>
      <c r="AM67" t="e">
        <f t="shared" ref="AM67:AM130" si="9">IF(AND(AA67&lt;&gt;AL67,VLOOKUP(AA67,$A$2:$B$1048576,2,FALSE)="RB"),AA67,IF(AND(AB67&lt;&gt;AL67,VLOOKUP(AB67,$A$2:$B$1048576,2,FALSE)="RB"),AB67,IF(AND(AC67&lt;&gt;AL67,VLOOKUP(AC67,$A$2:$B$1048576,2,FALSE)="RB"),AC67,IF(AND(AD67&lt;&gt;AL67,VLOOKUP(AD67,$A$2:$B$1048576,2,FALSE)="RB"),AD67,IF(AND(AE67&lt;&gt;AL67,VLOOKUP(AE67,$A$2:$B$1048576,2,FALSE)="RB"),AE67,IF(AND(AF67&lt;&gt;AL67,VLOOKUP(AF67,$A$2:$B$1048576,2,FALSE)="RB"),AF67,IF(AND(AG67&lt;&gt;AL67,VLOOKUP(AG67,$A$2:$B$1048576,2,FALSE)="RB"),AG67,IF(AND(AH67&lt;&gt;AL67,VLOOKUP(AH67,$A$2:$B$1048576,2,FALSE)="RB"),AH67,IF(AND(AI67&lt;&gt;AL67,VLOOKUP(AI67,$A$2:$B$1048576,2,FALSE)="RB"),AI67,0)))))))))</f>
        <v>#N/A</v>
      </c>
      <c r="AN67" t="e" cm="1">
        <f t="array" ref="AN67">_xlfn.IFS(VLOOKUP(AA67,$A$2:$B$1048576,2,FALSE)="WR",AA67,VLOOKUP(AB67,$A$2:$B$1048576,2,FALSE)="WR",AB67,VLOOKUP(AC67,$A$2:$B$1048576,2,FALSE)="WR",AC67,VLOOKUP(AD67,$A$2:$B$1048576,2,FALSE)="WR",AD67,VLOOKUP(AE67,$A$2:$B$1048576,2,FALSE)="WR",AE67,VLOOKUP(AF67,$A$2:$B$1048576,2,FALSE)="WR",AF67,VLOOKUP(AG67,$A$2:$B$1048576,2,FALSE)="WR",AG67,VLOOKUP(AH67,$A$2:$B$1048576,2,FALSE)="WR",AH67,VLOOKUP(AI67,$A$2:$B$1048576,2,FALSE)="WR",AI67)</f>
        <v>#N/A</v>
      </c>
      <c r="AO67" t="e">
        <f t="shared" ref="AO67:AO130" si="10">IF(AND(AA67&lt;&gt;AN67,VLOOKUP(AA67,$A$2:$B$1048576,2,FALSE)="WR"),AA67,IF(AND(AB67&lt;&gt;AN67,VLOOKUP(AB67,$A$2:$B$1048576,2,FALSE)="WR"),AB67,IF(AND(AC67&lt;&gt;AN67,VLOOKUP(AC67,$A$2:$B$1048576,2,FALSE)="WR"),AC67,IF(AND(AD67&lt;&gt;AN67,VLOOKUP(AD67,$A$2:$B$1048576,2,FALSE)="WR"),AD67,IF(AND(AE67&lt;&gt;AN67,VLOOKUP(AE67,$A$2:$B$1048576,2,FALSE)="WR"),AE67,IF(AND(AF67&lt;&gt;AN67,VLOOKUP(AF67,$A$2:$B$1048576,2,FALSE)="WR"),AF67,IF(AND(AG67&lt;&gt;AN67,VLOOKUP(AG67,$A$2:$B$1048576,2,FALSE)="WR"),AG67,IF(AND(AH67&lt;&gt;AN67,VLOOKUP(AH67,$A$2:$B$1048576,2,FALSE)="WR"),AH67,IF(AND(AI67&lt;&gt;AN67,VLOOKUP(AI67,$A$2:$B$1048576,2,FALSE)="WR"),AI67,0)))))))))</f>
        <v>#N/A</v>
      </c>
      <c r="AP67" t="e">
        <f t="shared" ref="AP67:AP130" si="11">IF(AND(AA67&lt;&gt;AN67,OR(AA67&lt;&gt;AO67),VLOOKUP(AA67,$A$2:$B$1048576,2,FALSE)="WR"),AA67,IF(AND(AB67&lt;&gt;AN67,OR(AB67&lt;&gt;AO67),VLOOKUP(AB67,$A$2:$B$1048576,2,FALSE)="WR"),AB67,IF(AND(AC67&lt;&gt;AN67,OR(AC67&lt;&gt;AO67),VLOOKUP(AC67,$A$2:$B$1048576,2,FALSE)="WR"),AC67,IF(AND(AD67&lt;&gt;AN67,OR(AD67&lt;&gt;AO67),VLOOKUP(AD67,$A$2:$B$1048576,2,FALSE)="WR"),AD67,IF(AND(AE67&lt;&gt;AN67,OR(AE67&lt;&gt;AO67),VLOOKUP(AE67,$A$2:$B$1048576,2,FALSE)="WR"),AE67,IF(AND(AF67&lt;&gt;AN67,OR(AF67&lt;&gt;AO67),VLOOKUP(AF67,$A$2:$B$1048576,2,FALSE)="WR"),AF67,IF(AND(AG67&lt;&gt;AN67,OR(AG67&lt;&gt;AO67),VLOOKUP(AG67,$A$2:$B$1048576,2,FALSE)="WR"),AG67,IF(AND(AH67&lt;&gt;AN67,OR(AH67&lt;&gt;AO67),VLOOKUP(AH67,$A$2:$B$1048576,2,FALSE)="WR"),AH67,IF(AND(AI67&lt;&gt;AN67,OR(AI67&lt;&gt;AO67),VLOOKUP(AI67,$A$2:$B$1048576,2,FALSE)="WR"),AI67,0)))))))))</f>
        <v>#N/A</v>
      </c>
      <c r="AQ67" t="e" cm="1">
        <f t="array" ref="AQ67">_xlfn.IFS(VLOOKUP(AA67,$A$2:$B$1048576,2,FALSE)="TE",AA67,VLOOKUP(AB67,$A$2:$B$1048576,2,FALSE)="TE",AB67,VLOOKUP(AC67,$A$2:$B$1048576,2,FALSE)="TE",AC67,VLOOKUP(AD67,$A$2:$B$1048576,2,FALSE)="TE",AD67,VLOOKUP(AE67,$A$2:$B$1048576,2,FALSE)="TE",AE67,VLOOKUP(AF67,$A$2:$B$1048576,2,FALSE)="TE",AF67,VLOOKUP(AG67,$A$2:$B$1048576,2,FALSE)="TE",AG67,VLOOKUP(AH67,$A$2:$B$1048576,2,FALSE)="TE",AH67,VLOOKUP(AI67,$A$2:$B$1048576,2,FALSE)="TE",AI67)</f>
        <v>#N/A</v>
      </c>
      <c r="AR67" t="e" cm="1">
        <f t="array" ref="AR67">_xlfn.IFS(IF(OR(AA67=AK67,AA67=AL67,AA67=AM67,AA67=AN67,AA67=AO67,AA67=AP67,AA67=AQ67,AA67=AS67),1,0)=0,AA67,IF(OR(AB67=AK67,AB67=AL67,AB67=AM67,AB67=AN67,AB67=AO67,AB67=AP67,AB67=AQ67,AB67=AS67),1,0)=0,AB67,IF(OR(AC67=AK67,AC67=AL67,AC67=AM67,AC67=AN67,AC67=AO67,AC67=AP67,AC67=AQ67,AC67=AS67),1,0)=0,AC67,IF(OR(AD67=AK67,AD67=AL67,AD67=AM67,AD67=AN67,AD67=AO67,AD67=AP67,AD67=AQ67,AD67=AS67),1,0)=0,AD67,IF(OR(AE67=AK67,AE67=AL67,AE67=AM67,AE67=AN67,AE67=AO67,AE67=AP67,AE67=AQ67,AE67=AS67),1,0)=0,AE67,IF(OR(AF67=AK67,AF67=AL67,AF67=AM67,AF67=AN67,AF67=AO67,AF67=AP67,AF67=AQ67,AF67=AS67),1,0)=0,AF67,IF(OR(AG67=AK67,AG67=AL67,AG67=AM67,AG67=AN67,AG67=AO67,AG67=AP67,AG67=AQ67,AG67=AS67),1,0)=0,AG67,IF(OR(AH67=AK67,AH67=AL67,AH67=AM67,AH67=AN67,AH67=AO67,AH67=AP67,AH67=AQ67,AH67=AS67),1,0)=0,AH67,IF(OR(AI67=AK67,AI67=AL67,AI67=AM67,AI67=AN67,AI67=AO67,AI67=AP67,AI67=AQ67,AI67=AS67),1,0)=0,AI67)</f>
        <v>#N/A</v>
      </c>
      <c r="AS67" t="e" cm="1">
        <f t="array" ref="AS67">_xlfn.IFS(VLOOKUP(AA67,$A$2:$B$1048576,2,FALSE)="DST",AA67,VLOOKUP(AB67,$A$2:$B$1048576,2,FALSE)="DST",AB67,VLOOKUP(AC67,$A$2:$B$1048576,2,FALSE)="DST",AC67,VLOOKUP(AD67,$A$2:$B$1048576,2,FALSE)="DST",AD67,VLOOKUP(AE67,$A$2:$B$1048576,2,FALSE)="DST",AE67,VLOOKUP(AF67,$A$2:$B$1048576,2,FALSE)="DST",AF67,VLOOKUP(AG67,$A$2:$B$1048576,2,FALSE)="DST",AG67,VLOOKUP(AH67,$A$2:$B$1048576,2,FALSE)="DST",AH67,VLOOKUP(AI67,$A$2:$B$1048576,2,FALSE)="DST",AI67)</f>
        <v>#N/A</v>
      </c>
    </row>
    <row r="68" spans="1:45" x14ac:dyDescent="0.35">
      <c r="A68" t="s">
        <v>91</v>
      </c>
      <c r="B68" s="11" t="s">
        <v>10</v>
      </c>
      <c r="C68" s="11">
        <v>3400</v>
      </c>
      <c r="D68" s="12">
        <v>8.2497333333333316</v>
      </c>
      <c r="E68" s="12">
        <v>10.631643999333127</v>
      </c>
      <c r="F68" s="12">
        <v>12.708371773485833</v>
      </c>
      <c r="H68" s="11">
        <v>0</v>
      </c>
      <c r="I68">
        <f>IF(B68="QB",H68*1,0)</f>
        <v>0</v>
      </c>
      <c r="J68">
        <f>IF(B68="RB",H68*1,0)</f>
        <v>0</v>
      </c>
      <c r="K68">
        <f>IF(B68="WR",H68*1,0)</f>
        <v>0</v>
      </c>
      <c r="L68">
        <f>IF(B68="TE",H68*1,0)</f>
        <v>0</v>
      </c>
      <c r="M68">
        <f>IF(B68="DST",H68*1,0)</f>
        <v>0</v>
      </c>
      <c r="X68" s="11">
        <f t="shared" si="7"/>
        <v>1</v>
      </c>
      <c r="Y68" s="9">
        <v>67</v>
      </c>
      <c r="Z68" s="12">
        <f t="shared" si="8"/>
        <v>0</v>
      </c>
      <c r="AK68" t="e" cm="1">
        <f t="array" ref="AK68">_xlfn.IFS(VLOOKUP(AA68,$A$2:$B$1048576,2,FALSE)="QB",AA68,VLOOKUP(AB68,$A$2:$B$1048576,2,FALSE)="QB",AB68,VLOOKUP(AC68,$A$2:$B$1048576,2,FALSE)="QB",AC68,VLOOKUP(AD68,$A$2:$B$1048576,2,FALSE)="QB",AD68,VLOOKUP(AE68,$A$2:$B$1048576,2,FALSE)="QB",AE68,VLOOKUP(AF68,$A$2:$B$1048576,2,FALSE)="QB",AF68,VLOOKUP(AG68,$A$2:$B$1048576,2,FALSE)="QB",AG68,VLOOKUP(AH68,$A$2:$B$1048576,2,FALSE)="QB",AH68,VLOOKUP(AI68,$A$2:$B$1048576,2,FALSE)="QB",AI68)</f>
        <v>#N/A</v>
      </c>
      <c r="AL68" t="e" cm="1">
        <f t="array" ref="AL68">_xlfn.IFS(VLOOKUP(AA68,$A$2:$B$1048576,2,FALSE)="RB",AA68,VLOOKUP(AB68,$A$2:$B$1048576,2,FALSE)="RB",AB68,VLOOKUP(AC68,$A$2:$B$1048576,2,FALSE)="RB",AC68,VLOOKUP(AD68,$A$2:$B$1048576,2,FALSE)="RB",AD68,VLOOKUP(AE68,$A$2:$B$1048576,2,FALSE)="RB",AE68,VLOOKUP(AF68,$A$2:$B$1048576,2,FALSE)="RB",AF68,VLOOKUP(AG68,$A$2:$B$1048576,2,FALSE)="RB",AG68,VLOOKUP(AH68,$A$2:$B$1048576,2,FALSE)="RB",AH68,VLOOKUP(AI68,$A$2:$B$1048576,2,FALSE)="RB",AI68)</f>
        <v>#N/A</v>
      </c>
      <c r="AM68" t="e">
        <f t="shared" si="9"/>
        <v>#N/A</v>
      </c>
      <c r="AN68" t="e" cm="1">
        <f t="array" ref="AN68">_xlfn.IFS(VLOOKUP(AA68,$A$2:$B$1048576,2,FALSE)="WR",AA68,VLOOKUP(AB68,$A$2:$B$1048576,2,FALSE)="WR",AB68,VLOOKUP(AC68,$A$2:$B$1048576,2,FALSE)="WR",AC68,VLOOKUP(AD68,$A$2:$B$1048576,2,FALSE)="WR",AD68,VLOOKUP(AE68,$A$2:$B$1048576,2,FALSE)="WR",AE68,VLOOKUP(AF68,$A$2:$B$1048576,2,FALSE)="WR",AF68,VLOOKUP(AG68,$A$2:$B$1048576,2,FALSE)="WR",AG68,VLOOKUP(AH68,$A$2:$B$1048576,2,FALSE)="WR",AH68,VLOOKUP(AI68,$A$2:$B$1048576,2,FALSE)="WR",AI68)</f>
        <v>#N/A</v>
      </c>
      <c r="AO68" t="e">
        <f t="shared" si="10"/>
        <v>#N/A</v>
      </c>
      <c r="AP68" t="e">
        <f t="shared" si="11"/>
        <v>#N/A</v>
      </c>
      <c r="AQ68" t="e" cm="1">
        <f t="array" ref="AQ68">_xlfn.IFS(VLOOKUP(AA68,$A$2:$B$1048576,2,FALSE)="TE",AA68,VLOOKUP(AB68,$A$2:$B$1048576,2,FALSE)="TE",AB68,VLOOKUP(AC68,$A$2:$B$1048576,2,FALSE)="TE",AC68,VLOOKUP(AD68,$A$2:$B$1048576,2,FALSE)="TE",AD68,VLOOKUP(AE68,$A$2:$B$1048576,2,FALSE)="TE",AE68,VLOOKUP(AF68,$A$2:$B$1048576,2,FALSE)="TE",AF68,VLOOKUP(AG68,$A$2:$B$1048576,2,FALSE)="TE",AG68,VLOOKUP(AH68,$A$2:$B$1048576,2,FALSE)="TE",AH68,VLOOKUP(AI68,$A$2:$B$1048576,2,FALSE)="TE",AI68)</f>
        <v>#N/A</v>
      </c>
      <c r="AR68" t="e" cm="1">
        <f t="array" ref="AR68">_xlfn.IFS(IF(OR(AA68=AK68,AA68=AL68,AA68=AM68,AA68=AN68,AA68=AO68,AA68=AP68,AA68=AQ68,AA68=AS68),1,0)=0,AA68,IF(OR(AB68=AK68,AB68=AL68,AB68=AM68,AB68=AN68,AB68=AO68,AB68=AP68,AB68=AQ68,AB68=AS68),1,0)=0,AB68,IF(OR(AC68=AK68,AC68=AL68,AC68=AM68,AC68=AN68,AC68=AO68,AC68=AP68,AC68=AQ68,AC68=AS68),1,0)=0,AC68,IF(OR(AD68=AK68,AD68=AL68,AD68=AM68,AD68=AN68,AD68=AO68,AD68=AP68,AD68=AQ68,AD68=AS68),1,0)=0,AD68,IF(OR(AE68=AK68,AE68=AL68,AE68=AM68,AE68=AN68,AE68=AO68,AE68=AP68,AE68=AQ68,AE68=AS68),1,0)=0,AE68,IF(OR(AF68=AK68,AF68=AL68,AF68=AM68,AF68=AN68,AF68=AO68,AF68=AP68,AF68=AQ68,AF68=AS68),1,0)=0,AF68,IF(OR(AG68=AK68,AG68=AL68,AG68=AM68,AG68=AN68,AG68=AO68,AG68=AP68,AG68=AQ68,AG68=AS68),1,0)=0,AG68,IF(OR(AH68=AK68,AH68=AL68,AH68=AM68,AH68=AN68,AH68=AO68,AH68=AP68,AH68=AQ68,AH68=AS68),1,0)=0,AH68,IF(OR(AI68=AK68,AI68=AL68,AI68=AM68,AI68=AN68,AI68=AO68,AI68=AP68,AI68=AQ68,AI68=AS68),1,0)=0,AI68)</f>
        <v>#N/A</v>
      </c>
      <c r="AS68" t="e" cm="1">
        <f t="array" ref="AS68">_xlfn.IFS(VLOOKUP(AA68,$A$2:$B$1048576,2,FALSE)="DST",AA68,VLOOKUP(AB68,$A$2:$B$1048576,2,FALSE)="DST",AB68,VLOOKUP(AC68,$A$2:$B$1048576,2,FALSE)="DST",AC68,VLOOKUP(AD68,$A$2:$B$1048576,2,FALSE)="DST",AD68,VLOOKUP(AE68,$A$2:$B$1048576,2,FALSE)="DST",AE68,VLOOKUP(AF68,$A$2:$B$1048576,2,FALSE)="DST",AF68,VLOOKUP(AG68,$A$2:$B$1048576,2,FALSE)="DST",AG68,VLOOKUP(AH68,$A$2:$B$1048576,2,FALSE)="DST",AH68,VLOOKUP(AI68,$A$2:$B$1048576,2,FALSE)="DST",AI68)</f>
        <v>#N/A</v>
      </c>
    </row>
    <row r="69" spans="1:45" x14ac:dyDescent="0.35">
      <c r="A69" t="s">
        <v>92</v>
      </c>
      <c r="B69" s="11" t="s">
        <v>10</v>
      </c>
      <c r="C69" s="11">
        <v>4200</v>
      </c>
      <c r="D69" s="12">
        <v>10.589483333333332</v>
      </c>
      <c r="E69" s="12">
        <v>10.86879549694469</v>
      </c>
      <c r="F69" s="12">
        <v>19.713699587501925</v>
      </c>
      <c r="H69" s="11">
        <v>0</v>
      </c>
      <c r="I69">
        <f>IF(B69="QB",H69*1,0)</f>
        <v>0</v>
      </c>
      <c r="J69">
        <f>IF(B69="RB",H69*1,0)</f>
        <v>0</v>
      </c>
      <c r="K69">
        <f>IF(B69="WR",H69*1,0)</f>
        <v>0</v>
      </c>
      <c r="L69">
        <f>IF(B69="TE",H69*1,0)</f>
        <v>0</v>
      </c>
      <c r="M69">
        <f>IF(B69="DST",H69*1,0)</f>
        <v>0</v>
      </c>
      <c r="X69" s="11">
        <f t="shared" si="7"/>
        <v>1</v>
      </c>
      <c r="Y69" s="9">
        <v>68</v>
      </c>
      <c r="Z69" s="12">
        <f t="shared" si="8"/>
        <v>0</v>
      </c>
      <c r="AK69" t="e" cm="1">
        <f t="array" ref="AK69">_xlfn.IFS(VLOOKUP(AA69,$A$2:$B$1048576,2,FALSE)="QB",AA69,VLOOKUP(AB69,$A$2:$B$1048576,2,FALSE)="QB",AB69,VLOOKUP(AC69,$A$2:$B$1048576,2,FALSE)="QB",AC69,VLOOKUP(AD69,$A$2:$B$1048576,2,FALSE)="QB",AD69,VLOOKUP(AE69,$A$2:$B$1048576,2,FALSE)="QB",AE69,VLOOKUP(AF69,$A$2:$B$1048576,2,FALSE)="QB",AF69,VLOOKUP(AG69,$A$2:$B$1048576,2,FALSE)="QB",AG69,VLOOKUP(AH69,$A$2:$B$1048576,2,FALSE)="QB",AH69,VLOOKUP(AI69,$A$2:$B$1048576,2,FALSE)="QB",AI69)</f>
        <v>#N/A</v>
      </c>
      <c r="AL69" t="e" cm="1">
        <f t="array" ref="AL69">_xlfn.IFS(VLOOKUP(AA69,$A$2:$B$1048576,2,FALSE)="RB",AA69,VLOOKUP(AB69,$A$2:$B$1048576,2,FALSE)="RB",AB69,VLOOKUP(AC69,$A$2:$B$1048576,2,FALSE)="RB",AC69,VLOOKUP(AD69,$A$2:$B$1048576,2,FALSE)="RB",AD69,VLOOKUP(AE69,$A$2:$B$1048576,2,FALSE)="RB",AE69,VLOOKUP(AF69,$A$2:$B$1048576,2,FALSE)="RB",AF69,VLOOKUP(AG69,$A$2:$B$1048576,2,FALSE)="RB",AG69,VLOOKUP(AH69,$A$2:$B$1048576,2,FALSE)="RB",AH69,VLOOKUP(AI69,$A$2:$B$1048576,2,FALSE)="RB",AI69)</f>
        <v>#N/A</v>
      </c>
      <c r="AM69" t="e">
        <f t="shared" si="9"/>
        <v>#N/A</v>
      </c>
      <c r="AN69" t="e" cm="1">
        <f t="array" ref="AN69">_xlfn.IFS(VLOOKUP(AA69,$A$2:$B$1048576,2,FALSE)="WR",AA69,VLOOKUP(AB69,$A$2:$B$1048576,2,FALSE)="WR",AB69,VLOOKUP(AC69,$A$2:$B$1048576,2,FALSE)="WR",AC69,VLOOKUP(AD69,$A$2:$B$1048576,2,FALSE)="WR",AD69,VLOOKUP(AE69,$A$2:$B$1048576,2,FALSE)="WR",AE69,VLOOKUP(AF69,$A$2:$B$1048576,2,FALSE)="WR",AF69,VLOOKUP(AG69,$A$2:$B$1048576,2,FALSE)="WR",AG69,VLOOKUP(AH69,$A$2:$B$1048576,2,FALSE)="WR",AH69,VLOOKUP(AI69,$A$2:$B$1048576,2,FALSE)="WR",AI69)</f>
        <v>#N/A</v>
      </c>
      <c r="AO69" t="e">
        <f t="shared" si="10"/>
        <v>#N/A</v>
      </c>
      <c r="AP69" t="e">
        <f t="shared" si="11"/>
        <v>#N/A</v>
      </c>
      <c r="AQ69" t="e" cm="1">
        <f t="array" ref="AQ69">_xlfn.IFS(VLOOKUP(AA69,$A$2:$B$1048576,2,FALSE)="TE",AA69,VLOOKUP(AB69,$A$2:$B$1048576,2,FALSE)="TE",AB69,VLOOKUP(AC69,$A$2:$B$1048576,2,FALSE)="TE",AC69,VLOOKUP(AD69,$A$2:$B$1048576,2,FALSE)="TE",AD69,VLOOKUP(AE69,$A$2:$B$1048576,2,FALSE)="TE",AE69,VLOOKUP(AF69,$A$2:$B$1048576,2,FALSE)="TE",AF69,VLOOKUP(AG69,$A$2:$B$1048576,2,FALSE)="TE",AG69,VLOOKUP(AH69,$A$2:$B$1048576,2,FALSE)="TE",AH69,VLOOKUP(AI69,$A$2:$B$1048576,2,FALSE)="TE",AI69)</f>
        <v>#N/A</v>
      </c>
      <c r="AR69" t="e" cm="1">
        <f t="array" ref="AR69">_xlfn.IFS(IF(OR(AA69=AK69,AA69=AL69,AA69=AM69,AA69=AN69,AA69=AO69,AA69=AP69,AA69=AQ69,AA69=AS69),1,0)=0,AA69,IF(OR(AB69=AK69,AB69=AL69,AB69=AM69,AB69=AN69,AB69=AO69,AB69=AP69,AB69=AQ69,AB69=AS69),1,0)=0,AB69,IF(OR(AC69=AK69,AC69=AL69,AC69=AM69,AC69=AN69,AC69=AO69,AC69=AP69,AC69=AQ69,AC69=AS69),1,0)=0,AC69,IF(OR(AD69=AK69,AD69=AL69,AD69=AM69,AD69=AN69,AD69=AO69,AD69=AP69,AD69=AQ69,AD69=AS69),1,0)=0,AD69,IF(OR(AE69=AK69,AE69=AL69,AE69=AM69,AE69=AN69,AE69=AO69,AE69=AP69,AE69=AQ69,AE69=AS69),1,0)=0,AE69,IF(OR(AF69=AK69,AF69=AL69,AF69=AM69,AF69=AN69,AF69=AO69,AF69=AP69,AF69=AQ69,AF69=AS69),1,0)=0,AF69,IF(OR(AG69=AK69,AG69=AL69,AG69=AM69,AG69=AN69,AG69=AO69,AG69=AP69,AG69=AQ69,AG69=AS69),1,0)=0,AG69,IF(OR(AH69=AK69,AH69=AL69,AH69=AM69,AH69=AN69,AH69=AO69,AH69=AP69,AH69=AQ69,AH69=AS69),1,0)=0,AH69,IF(OR(AI69=AK69,AI69=AL69,AI69=AM69,AI69=AN69,AI69=AO69,AI69=AP69,AI69=AQ69,AI69=AS69),1,0)=0,AI69)</f>
        <v>#N/A</v>
      </c>
      <c r="AS69" t="e" cm="1">
        <f t="array" ref="AS69">_xlfn.IFS(VLOOKUP(AA69,$A$2:$B$1048576,2,FALSE)="DST",AA69,VLOOKUP(AB69,$A$2:$B$1048576,2,FALSE)="DST",AB69,VLOOKUP(AC69,$A$2:$B$1048576,2,FALSE)="DST",AC69,VLOOKUP(AD69,$A$2:$B$1048576,2,FALSE)="DST",AD69,VLOOKUP(AE69,$A$2:$B$1048576,2,FALSE)="DST",AE69,VLOOKUP(AF69,$A$2:$B$1048576,2,FALSE)="DST",AF69,VLOOKUP(AG69,$A$2:$B$1048576,2,FALSE)="DST",AG69,VLOOKUP(AH69,$A$2:$B$1048576,2,FALSE)="DST",AH69,VLOOKUP(AI69,$A$2:$B$1048576,2,FALSE)="DST",AI69)</f>
        <v>#N/A</v>
      </c>
    </row>
    <row r="70" spans="1:45" x14ac:dyDescent="0.35">
      <c r="A70" t="s">
        <v>93</v>
      </c>
      <c r="B70" s="11" t="s">
        <v>10</v>
      </c>
      <c r="C70" s="11">
        <v>4000</v>
      </c>
      <c r="D70" s="12">
        <v>9.7317333333333327</v>
      </c>
      <c r="E70" s="12">
        <v>10.319263028591266</v>
      </c>
      <c r="F70" s="12">
        <v>17.136655314962962</v>
      </c>
      <c r="H70" s="11">
        <v>0</v>
      </c>
      <c r="I70">
        <f>IF(B70="QB",H70*1,0)</f>
        <v>0</v>
      </c>
      <c r="J70">
        <f>IF(B70="RB",H70*1,0)</f>
        <v>0</v>
      </c>
      <c r="K70">
        <f>IF(B70="WR",H70*1,0)</f>
        <v>0</v>
      </c>
      <c r="L70">
        <f>IF(B70="TE",H70*1,0)</f>
        <v>0</v>
      </c>
      <c r="M70">
        <f>IF(B70="DST",H70*1,0)</f>
        <v>0</v>
      </c>
      <c r="X70" s="11">
        <f t="shared" si="7"/>
        <v>1</v>
      </c>
      <c r="Y70" s="9">
        <v>69</v>
      </c>
      <c r="Z70" s="12">
        <f t="shared" si="8"/>
        <v>0</v>
      </c>
      <c r="AK70" t="e" cm="1">
        <f t="array" ref="AK70">_xlfn.IFS(VLOOKUP(AA70,$A$2:$B$1048576,2,FALSE)="QB",AA70,VLOOKUP(AB70,$A$2:$B$1048576,2,FALSE)="QB",AB70,VLOOKUP(AC70,$A$2:$B$1048576,2,FALSE)="QB",AC70,VLOOKUP(AD70,$A$2:$B$1048576,2,FALSE)="QB",AD70,VLOOKUP(AE70,$A$2:$B$1048576,2,FALSE)="QB",AE70,VLOOKUP(AF70,$A$2:$B$1048576,2,FALSE)="QB",AF70,VLOOKUP(AG70,$A$2:$B$1048576,2,FALSE)="QB",AG70,VLOOKUP(AH70,$A$2:$B$1048576,2,FALSE)="QB",AH70,VLOOKUP(AI70,$A$2:$B$1048576,2,FALSE)="QB",AI70)</f>
        <v>#N/A</v>
      </c>
      <c r="AL70" t="e" cm="1">
        <f t="array" ref="AL70">_xlfn.IFS(VLOOKUP(AA70,$A$2:$B$1048576,2,FALSE)="RB",AA70,VLOOKUP(AB70,$A$2:$B$1048576,2,FALSE)="RB",AB70,VLOOKUP(AC70,$A$2:$B$1048576,2,FALSE)="RB",AC70,VLOOKUP(AD70,$A$2:$B$1048576,2,FALSE)="RB",AD70,VLOOKUP(AE70,$A$2:$B$1048576,2,FALSE)="RB",AE70,VLOOKUP(AF70,$A$2:$B$1048576,2,FALSE)="RB",AF70,VLOOKUP(AG70,$A$2:$B$1048576,2,FALSE)="RB",AG70,VLOOKUP(AH70,$A$2:$B$1048576,2,FALSE)="RB",AH70,VLOOKUP(AI70,$A$2:$B$1048576,2,FALSE)="RB",AI70)</f>
        <v>#N/A</v>
      </c>
      <c r="AM70" t="e">
        <f t="shared" si="9"/>
        <v>#N/A</v>
      </c>
      <c r="AN70" t="e" cm="1">
        <f t="array" ref="AN70">_xlfn.IFS(VLOOKUP(AA70,$A$2:$B$1048576,2,FALSE)="WR",AA70,VLOOKUP(AB70,$A$2:$B$1048576,2,FALSE)="WR",AB70,VLOOKUP(AC70,$A$2:$B$1048576,2,FALSE)="WR",AC70,VLOOKUP(AD70,$A$2:$B$1048576,2,FALSE)="WR",AD70,VLOOKUP(AE70,$A$2:$B$1048576,2,FALSE)="WR",AE70,VLOOKUP(AF70,$A$2:$B$1048576,2,FALSE)="WR",AF70,VLOOKUP(AG70,$A$2:$B$1048576,2,FALSE)="WR",AG70,VLOOKUP(AH70,$A$2:$B$1048576,2,FALSE)="WR",AH70,VLOOKUP(AI70,$A$2:$B$1048576,2,FALSE)="WR",AI70)</f>
        <v>#N/A</v>
      </c>
      <c r="AO70" t="e">
        <f t="shared" si="10"/>
        <v>#N/A</v>
      </c>
      <c r="AP70" t="e">
        <f t="shared" si="11"/>
        <v>#N/A</v>
      </c>
      <c r="AQ70" t="e" cm="1">
        <f t="array" ref="AQ70">_xlfn.IFS(VLOOKUP(AA70,$A$2:$B$1048576,2,FALSE)="TE",AA70,VLOOKUP(AB70,$A$2:$B$1048576,2,FALSE)="TE",AB70,VLOOKUP(AC70,$A$2:$B$1048576,2,FALSE)="TE",AC70,VLOOKUP(AD70,$A$2:$B$1048576,2,FALSE)="TE",AD70,VLOOKUP(AE70,$A$2:$B$1048576,2,FALSE)="TE",AE70,VLOOKUP(AF70,$A$2:$B$1048576,2,FALSE)="TE",AF70,VLOOKUP(AG70,$A$2:$B$1048576,2,FALSE)="TE",AG70,VLOOKUP(AH70,$A$2:$B$1048576,2,FALSE)="TE",AH70,VLOOKUP(AI70,$A$2:$B$1048576,2,FALSE)="TE",AI70)</f>
        <v>#N/A</v>
      </c>
      <c r="AR70" t="e" cm="1">
        <f t="array" ref="AR70">_xlfn.IFS(IF(OR(AA70=AK70,AA70=AL70,AA70=AM70,AA70=AN70,AA70=AO70,AA70=AP70,AA70=AQ70,AA70=AS70),1,0)=0,AA70,IF(OR(AB70=AK70,AB70=AL70,AB70=AM70,AB70=AN70,AB70=AO70,AB70=AP70,AB70=AQ70,AB70=AS70),1,0)=0,AB70,IF(OR(AC70=AK70,AC70=AL70,AC70=AM70,AC70=AN70,AC70=AO70,AC70=AP70,AC70=AQ70,AC70=AS70),1,0)=0,AC70,IF(OR(AD70=AK70,AD70=AL70,AD70=AM70,AD70=AN70,AD70=AO70,AD70=AP70,AD70=AQ70,AD70=AS70),1,0)=0,AD70,IF(OR(AE70=AK70,AE70=AL70,AE70=AM70,AE70=AN70,AE70=AO70,AE70=AP70,AE70=AQ70,AE70=AS70),1,0)=0,AE70,IF(OR(AF70=AK70,AF70=AL70,AF70=AM70,AF70=AN70,AF70=AO70,AF70=AP70,AF70=AQ70,AF70=AS70),1,0)=0,AF70,IF(OR(AG70=AK70,AG70=AL70,AG70=AM70,AG70=AN70,AG70=AO70,AG70=AP70,AG70=AQ70,AG70=AS70),1,0)=0,AG70,IF(OR(AH70=AK70,AH70=AL70,AH70=AM70,AH70=AN70,AH70=AO70,AH70=AP70,AH70=AQ70,AH70=AS70),1,0)=0,AH70,IF(OR(AI70=AK70,AI70=AL70,AI70=AM70,AI70=AN70,AI70=AO70,AI70=AP70,AI70=AQ70,AI70=AS70),1,0)=0,AI70)</f>
        <v>#N/A</v>
      </c>
      <c r="AS70" t="e" cm="1">
        <f t="array" ref="AS70">_xlfn.IFS(VLOOKUP(AA70,$A$2:$B$1048576,2,FALSE)="DST",AA70,VLOOKUP(AB70,$A$2:$B$1048576,2,FALSE)="DST",AB70,VLOOKUP(AC70,$A$2:$B$1048576,2,FALSE)="DST",AC70,VLOOKUP(AD70,$A$2:$B$1048576,2,FALSE)="DST",AD70,VLOOKUP(AE70,$A$2:$B$1048576,2,FALSE)="DST",AE70,VLOOKUP(AF70,$A$2:$B$1048576,2,FALSE)="DST",AF70,VLOOKUP(AG70,$A$2:$B$1048576,2,FALSE)="DST",AG70,VLOOKUP(AH70,$A$2:$B$1048576,2,FALSE)="DST",AH70,VLOOKUP(AI70,$A$2:$B$1048576,2,FALSE)="DST",AI70)</f>
        <v>#N/A</v>
      </c>
    </row>
    <row r="71" spans="1:45" x14ac:dyDescent="0.35">
      <c r="A71" t="s">
        <v>94</v>
      </c>
      <c r="B71" s="11" t="s">
        <v>10</v>
      </c>
      <c r="C71" s="11">
        <v>3700</v>
      </c>
      <c r="D71" s="12">
        <v>8.7886499999999987</v>
      </c>
      <c r="E71" s="12">
        <v>9.129116173866878</v>
      </c>
      <c r="F71" s="12">
        <v>14.312706454681866</v>
      </c>
      <c r="H71" s="11">
        <v>0</v>
      </c>
      <c r="I71">
        <f>IF(B71="QB",H71*1,0)</f>
        <v>0</v>
      </c>
      <c r="J71">
        <f>IF(B71="RB",H71*1,0)</f>
        <v>0</v>
      </c>
      <c r="K71">
        <f>IF(B71="WR",H71*1,0)</f>
        <v>0</v>
      </c>
      <c r="L71">
        <f>IF(B71="TE",H71*1,0)</f>
        <v>0</v>
      </c>
      <c r="M71">
        <f>IF(B71="DST",H71*1,0)</f>
        <v>0</v>
      </c>
      <c r="X71" s="11">
        <f t="shared" si="7"/>
        <v>1</v>
      </c>
      <c r="Y71" s="9">
        <v>70</v>
      </c>
      <c r="Z71" s="12">
        <f t="shared" si="8"/>
        <v>0</v>
      </c>
      <c r="AK71" t="e" cm="1">
        <f t="array" ref="AK71">_xlfn.IFS(VLOOKUP(AA71,$A$2:$B$1048576,2,FALSE)="QB",AA71,VLOOKUP(AB71,$A$2:$B$1048576,2,FALSE)="QB",AB71,VLOOKUP(AC71,$A$2:$B$1048576,2,FALSE)="QB",AC71,VLOOKUP(AD71,$A$2:$B$1048576,2,FALSE)="QB",AD71,VLOOKUP(AE71,$A$2:$B$1048576,2,FALSE)="QB",AE71,VLOOKUP(AF71,$A$2:$B$1048576,2,FALSE)="QB",AF71,VLOOKUP(AG71,$A$2:$B$1048576,2,FALSE)="QB",AG71,VLOOKUP(AH71,$A$2:$B$1048576,2,FALSE)="QB",AH71,VLOOKUP(AI71,$A$2:$B$1048576,2,FALSE)="QB",AI71)</f>
        <v>#N/A</v>
      </c>
      <c r="AL71" t="e" cm="1">
        <f t="array" ref="AL71">_xlfn.IFS(VLOOKUP(AA71,$A$2:$B$1048576,2,FALSE)="RB",AA71,VLOOKUP(AB71,$A$2:$B$1048576,2,FALSE)="RB",AB71,VLOOKUP(AC71,$A$2:$B$1048576,2,FALSE)="RB",AC71,VLOOKUP(AD71,$A$2:$B$1048576,2,FALSE)="RB",AD71,VLOOKUP(AE71,$A$2:$B$1048576,2,FALSE)="RB",AE71,VLOOKUP(AF71,$A$2:$B$1048576,2,FALSE)="RB",AF71,VLOOKUP(AG71,$A$2:$B$1048576,2,FALSE)="RB",AG71,VLOOKUP(AH71,$A$2:$B$1048576,2,FALSE)="RB",AH71,VLOOKUP(AI71,$A$2:$B$1048576,2,FALSE)="RB",AI71)</f>
        <v>#N/A</v>
      </c>
      <c r="AM71" t="e">
        <f t="shared" si="9"/>
        <v>#N/A</v>
      </c>
      <c r="AN71" t="e" cm="1">
        <f t="array" ref="AN71">_xlfn.IFS(VLOOKUP(AA71,$A$2:$B$1048576,2,FALSE)="WR",AA71,VLOOKUP(AB71,$A$2:$B$1048576,2,FALSE)="WR",AB71,VLOOKUP(AC71,$A$2:$B$1048576,2,FALSE)="WR",AC71,VLOOKUP(AD71,$A$2:$B$1048576,2,FALSE)="WR",AD71,VLOOKUP(AE71,$A$2:$B$1048576,2,FALSE)="WR",AE71,VLOOKUP(AF71,$A$2:$B$1048576,2,FALSE)="WR",AF71,VLOOKUP(AG71,$A$2:$B$1048576,2,FALSE)="WR",AG71,VLOOKUP(AH71,$A$2:$B$1048576,2,FALSE)="WR",AH71,VLOOKUP(AI71,$A$2:$B$1048576,2,FALSE)="WR",AI71)</f>
        <v>#N/A</v>
      </c>
      <c r="AO71" t="e">
        <f t="shared" si="10"/>
        <v>#N/A</v>
      </c>
      <c r="AP71" t="e">
        <f t="shared" si="11"/>
        <v>#N/A</v>
      </c>
      <c r="AQ71" t="e" cm="1">
        <f t="array" ref="AQ71">_xlfn.IFS(VLOOKUP(AA71,$A$2:$B$1048576,2,FALSE)="TE",AA71,VLOOKUP(AB71,$A$2:$B$1048576,2,FALSE)="TE",AB71,VLOOKUP(AC71,$A$2:$B$1048576,2,FALSE)="TE",AC71,VLOOKUP(AD71,$A$2:$B$1048576,2,FALSE)="TE",AD71,VLOOKUP(AE71,$A$2:$B$1048576,2,FALSE)="TE",AE71,VLOOKUP(AF71,$A$2:$B$1048576,2,FALSE)="TE",AF71,VLOOKUP(AG71,$A$2:$B$1048576,2,FALSE)="TE",AG71,VLOOKUP(AH71,$A$2:$B$1048576,2,FALSE)="TE",AH71,VLOOKUP(AI71,$A$2:$B$1048576,2,FALSE)="TE",AI71)</f>
        <v>#N/A</v>
      </c>
      <c r="AR71" t="e" cm="1">
        <f t="array" ref="AR71">_xlfn.IFS(IF(OR(AA71=AK71,AA71=AL71,AA71=AM71,AA71=AN71,AA71=AO71,AA71=AP71,AA71=AQ71,AA71=AS71),1,0)=0,AA71,IF(OR(AB71=AK71,AB71=AL71,AB71=AM71,AB71=AN71,AB71=AO71,AB71=AP71,AB71=AQ71,AB71=AS71),1,0)=0,AB71,IF(OR(AC71=AK71,AC71=AL71,AC71=AM71,AC71=AN71,AC71=AO71,AC71=AP71,AC71=AQ71,AC71=AS71),1,0)=0,AC71,IF(OR(AD71=AK71,AD71=AL71,AD71=AM71,AD71=AN71,AD71=AO71,AD71=AP71,AD71=AQ71,AD71=AS71),1,0)=0,AD71,IF(OR(AE71=AK71,AE71=AL71,AE71=AM71,AE71=AN71,AE71=AO71,AE71=AP71,AE71=AQ71,AE71=AS71),1,0)=0,AE71,IF(OR(AF71=AK71,AF71=AL71,AF71=AM71,AF71=AN71,AF71=AO71,AF71=AP71,AF71=AQ71,AF71=AS71),1,0)=0,AF71,IF(OR(AG71=AK71,AG71=AL71,AG71=AM71,AG71=AN71,AG71=AO71,AG71=AP71,AG71=AQ71,AG71=AS71),1,0)=0,AG71,IF(OR(AH71=AK71,AH71=AL71,AH71=AM71,AH71=AN71,AH71=AO71,AH71=AP71,AH71=AQ71,AH71=AS71),1,0)=0,AH71,IF(OR(AI71=AK71,AI71=AL71,AI71=AM71,AI71=AN71,AI71=AO71,AI71=AP71,AI71=AQ71,AI71=AS71),1,0)=0,AI71)</f>
        <v>#N/A</v>
      </c>
      <c r="AS71" t="e" cm="1">
        <f t="array" ref="AS71">_xlfn.IFS(VLOOKUP(AA71,$A$2:$B$1048576,2,FALSE)="DST",AA71,VLOOKUP(AB71,$A$2:$B$1048576,2,FALSE)="DST",AB71,VLOOKUP(AC71,$A$2:$B$1048576,2,FALSE)="DST",AC71,VLOOKUP(AD71,$A$2:$B$1048576,2,FALSE)="DST",AD71,VLOOKUP(AE71,$A$2:$B$1048576,2,FALSE)="DST",AE71,VLOOKUP(AF71,$A$2:$B$1048576,2,FALSE)="DST",AF71,VLOOKUP(AG71,$A$2:$B$1048576,2,FALSE)="DST",AG71,VLOOKUP(AH71,$A$2:$B$1048576,2,FALSE)="DST",AH71,VLOOKUP(AI71,$A$2:$B$1048576,2,FALSE)="DST",AI71)</f>
        <v>#N/A</v>
      </c>
    </row>
    <row r="72" spans="1:45" x14ac:dyDescent="0.35">
      <c r="A72" t="s">
        <v>95</v>
      </c>
      <c r="B72" s="11" t="s">
        <v>10</v>
      </c>
      <c r="C72" s="11">
        <v>6000</v>
      </c>
      <c r="D72" s="12">
        <v>16.101733333333332</v>
      </c>
      <c r="E72" s="12">
        <v>16.58244806827695</v>
      </c>
      <c r="F72" s="12">
        <v>36.249013922012338</v>
      </c>
      <c r="H72" s="11">
        <v>0</v>
      </c>
      <c r="I72">
        <f>IF(B72="QB",H72*1,0)</f>
        <v>0</v>
      </c>
      <c r="J72">
        <f>IF(B72="RB",H72*1,0)</f>
        <v>0</v>
      </c>
      <c r="K72">
        <f>IF(B72="WR",H72*1,0)</f>
        <v>0</v>
      </c>
      <c r="L72">
        <f>IF(B72="TE",H72*1,0)</f>
        <v>0</v>
      </c>
      <c r="M72">
        <f>IF(B72="DST",H72*1,0)</f>
        <v>0</v>
      </c>
      <c r="X72" s="11">
        <f t="shared" si="7"/>
        <v>1</v>
      </c>
      <c r="Y72" s="9">
        <v>71</v>
      </c>
      <c r="Z72" s="12">
        <f t="shared" si="8"/>
        <v>0</v>
      </c>
      <c r="AK72" t="e" cm="1">
        <f t="array" ref="AK72">_xlfn.IFS(VLOOKUP(AA72,$A$2:$B$1048576,2,FALSE)="QB",AA72,VLOOKUP(AB72,$A$2:$B$1048576,2,FALSE)="QB",AB72,VLOOKUP(AC72,$A$2:$B$1048576,2,FALSE)="QB",AC72,VLOOKUP(AD72,$A$2:$B$1048576,2,FALSE)="QB",AD72,VLOOKUP(AE72,$A$2:$B$1048576,2,FALSE)="QB",AE72,VLOOKUP(AF72,$A$2:$B$1048576,2,FALSE)="QB",AF72,VLOOKUP(AG72,$A$2:$B$1048576,2,FALSE)="QB",AG72,VLOOKUP(AH72,$A$2:$B$1048576,2,FALSE)="QB",AH72,VLOOKUP(AI72,$A$2:$B$1048576,2,FALSE)="QB",AI72)</f>
        <v>#N/A</v>
      </c>
      <c r="AL72" t="e" cm="1">
        <f t="array" ref="AL72">_xlfn.IFS(VLOOKUP(AA72,$A$2:$B$1048576,2,FALSE)="RB",AA72,VLOOKUP(AB72,$A$2:$B$1048576,2,FALSE)="RB",AB72,VLOOKUP(AC72,$A$2:$B$1048576,2,FALSE)="RB",AC72,VLOOKUP(AD72,$A$2:$B$1048576,2,FALSE)="RB",AD72,VLOOKUP(AE72,$A$2:$B$1048576,2,FALSE)="RB",AE72,VLOOKUP(AF72,$A$2:$B$1048576,2,FALSE)="RB",AF72,VLOOKUP(AG72,$A$2:$B$1048576,2,FALSE)="RB",AG72,VLOOKUP(AH72,$A$2:$B$1048576,2,FALSE)="RB",AH72,VLOOKUP(AI72,$A$2:$B$1048576,2,FALSE)="RB",AI72)</f>
        <v>#N/A</v>
      </c>
      <c r="AM72" t="e">
        <f t="shared" si="9"/>
        <v>#N/A</v>
      </c>
      <c r="AN72" t="e" cm="1">
        <f t="array" ref="AN72">_xlfn.IFS(VLOOKUP(AA72,$A$2:$B$1048576,2,FALSE)="WR",AA72,VLOOKUP(AB72,$A$2:$B$1048576,2,FALSE)="WR",AB72,VLOOKUP(AC72,$A$2:$B$1048576,2,FALSE)="WR",AC72,VLOOKUP(AD72,$A$2:$B$1048576,2,FALSE)="WR",AD72,VLOOKUP(AE72,$A$2:$B$1048576,2,FALSE)="WR",AE72,VLOOKUP(AF72,$A$2:$B$1048576,2,FALSE)="WR",AF72,VLOOKUP(AG72,$A$2:$B$1048576,2,FALSE)="WR",AG72,VLOOKUP(AH72,$A$2:$B$1048576,2,FALSE)="WR",AH72,VLOOKUP(AI72,$A$2:$B$1048576,2,FALSE)="WR",AI72)</f>
        <v>#N/A</v>
      </c>
      <c r="AO72" t="e">
        <f t="shared" si="10"/>
        <v>#N/A</v>
      </c>
      <c r="AP72" t="e">
        <f t="shared" si="11"/>
        <v>#N/A</v>
      </c>
      <c r="AQ72" t="e" cm="1">
        <f t="array" ref="AQ72">_xlfn.IFS(VLOOKUP(AA72,$A$2:$B$1048576,2,FALSE)="TE",AA72,VLOOKUP(AB72,$A$2:$B$1048576,2,FALSE)="TE",AB72,VLOOKUP(AC72,$A$2:$B$1048576,2,FALSE)="TE",AC72,VLOOKUP(AD72,$A$2:$B$1048576,2,FALSE)="TE",AD72,VLOOKUP(AE72,$A$2:$B$1048576,2,FALSE)="TE",AE72,VLOOKUP(AF72,$A$2:$B$1048576,2,FALSE)="TE",AF72,VLOOKUP(AG72,$A$2:$B$1048576,2,FALSE)="TE",AG72,VLOOKUP(AH72,$A$2:$B$1048576,2,FALSE)="TE",AH72,VLOOKUP(AI72,$A$2:$B$1048576,2,FALSE)="TE",AI72)</f>
        <v>#N/A</v>
      </c>
      <c r="AR72" t="e" cm="1">
        <f t="array" ref="AR72">_xlfn.IFS(IF(OR(AA72=AK72,AA72=AL72,AA72=AM72,AA72=AN72,AA72=AO72,AA72=AP72,AA72=AQ72,AA72=AS72),1,0)=0,AA72,IF(OR(AB72=AK72,AB72=AL72,AB72=AM72,AB72=AN72,AB72=AO72,AB72=AP72,AB72=AQ72,AB72=AS72),1,0)=0,AB72,IF(OR(AC72=AK72,AC72=AL72,AC72=AM72,AC72=AN72,AC72=AO72,AC72=AP72,AC72=AQ72,AC72=AS72),1,0)=0,AC72,IF(OR(AD72=AK72,AD72=AL72,AD72=AM72,AD72=AN72,AD72=AO72,AD72=AP72,AD72=AQ72,AD72=AS72),1,0)=0,AD72,IF(OR(AE72=AK72,AE72=AL72,AE72=AM72,AE72=AN72,AE72=AO72,AE72=AP72,AE72=AQ72,AE72=AS72),1,0)=0,AE72,IF(OR(AF72=AK72,AF72=AL72,AF72=AM72,AF72=AN72,AF72=AO72,AF72=AP72,AF72=AQ72,AF72=AS72),1,0)=0,AF72,IF(OR(AG72=AK72,AG72=AL72,AG72=AM72,AG72=AN72,AG72=AO72,AG72=AP72,AG72=AQ72,AG72=AS72),1,0)=0,AG72,IF(OR(AH72=AK72,AH72=AL72,AH72=AM72,AH72=AN72,AH72=AO72,AH72=AP72,AH72=AQ72,AH72=AS72),1,0)=0,AH72,IF(OR(AI72=AK72,AI72=AL72,AI72=AM72,AI72=AN72,AI72=AO72,AI72=AP72,AI72=AQ72,AI72=AS72),1,0)=0,AI72)</f>
        <v>#N/A</v>
      </c>
      <c r="AS72" t="e" cm="1">
        <f t="array" ref="AS72">_xlfn.IFS(VLOOKUP(AA72,$A$2:$B$1048576,2,FALSE)="DST",AA72,VLOOKUP(AB72,$A$2:$B$1048576,2,FALSE)="DST",AB72,VLOOKUP(AC72,$A$2:$B$1048576,2,FALSE)="DST",AC72,VLOOKUP(AD72,$A$2:$B$1048576,2,FALSE)="DST",AD72,VLOOKUP(AE72,$A$2:$B$1048576,2,FALSE)="DST",AE72,VLOOKUP(AF72,$A$2:$B$1048576,2,FALSE)="DST",AF72,VLOOKUP(AG72,$A$2:$B$1048576,2,FALSE)="DST",AG72,VLOOKUP(AH72,$A$2:$B$1048576,2,FALSE)="DST",AH72,VLOOKUP(AI72,$A$2:$B$1048576,2,FALSE)="DST",AI72)</f>
        <v>#N/A</v>
      </c>
    </row>
    <row r="73" spans="1:45" x14ac:dyDescent="0.35">
      <c r="A73" t="s">
        <v>96</v>
      </c>
      <c r="B73" s="11" t="s">
        <v>10</v>
      </c>
      <c r="C73" s="11">
        <v>3600</v>
      </c>
      <c r="D73" s="12">
        <v>9.507066666666665</v>
      </c>
      <c r="E73" s="12">
        <v>9.6255992552903855</v>
      </c>
      <c r="F73" s="12">
        <v>16.492767225576127</v>
      </c>
      <c r="H73" s="11">
        <v>0</v>
      </c>
      <c r="I73">
        <f>IF(B73="QB",H73*1,0)</f>
        <v>0</v>
      </c>
      <c r="J73">
        <f>IF(B73="RB",H73*1,0)</f>
        <v>0</v>
      </c>
      <c r="K73">
        <f>IF(B73="WR",H73*1,0)</f>
        <v>0</v>
      </c>
      <c r="L73">
        <f>IF(B73="TE",H73*1,0)</f>
        <v>0</v>
      </c>
      <c r="M73">
        <f>IF(B73="DST",H73*1,0)</f>
        <v>0</v>
      </c>
      <c r="X73" s="11">
        <f t="shared" si="7"/>
        <v>1</v>
      </c>
      <c r="Y73" s="9">
        <v>72</v>
      </c>
      <c r="Z73" s="12">
        <f t="shared" si="8"/>
        <v>0</v>
      </c>
      <c r="AK73" t="e" cm="1">
        <f t="array" ref="AK73">_xlfn.IFS(VLOOKUP(AA73,$A$2:$B$1048576,2,FALSE)="QB",AA73,VLOOKUP(AB73,$A$2:$B$1048576,2,FALSE)="QB",AB73,VLOOKUP(AC73,$A$2:$B$1048576,2,FALSE)="QB",AC73,VLOOKUP(AD73,$A$2:$B$1048576,2,FALSE)="QB",AD73,VLOOKUP(AE73,$A$2:$B$1048576,2,FALSE)="QB",AE73,VLOOKUP(AF73,$A$2:$B$1048576,2,FALSE)="QB",AF73,VLOOKUP(AG73,$A$2:$B$1048576,2,FALSE)="QB",AG73,VLOOKUP(AH73,$A$2:$B$1048576,2,FALSE)="QB",AH73,VLOOKUP(AI73,$A$2:$B$1048576,2,FALSE)="QB",AI73)</f>
        <v>#N/A</v>
      </c>
      <c r="AL73" t="e" cm="1">
        <f t="array" ref="AL73">_xlfn.IFS(VLOOKUP(AA73,$A$2:$B$1048576,2,FALSE)="RB",AA73,VLOOKUP(AB73,$A$2:$B$1048576,2,FALSE)="RB",AB73,VLOOKUP(AC73,$A$2:$B$1048576,2,FALSE)="RB",AC73,VLOOKUP(AD73,$A$2:$B$1048576,2,FALSE)="RB",AD73,VLOOKUP(AE73,$A$2:$B$1048576,2,FALSE)="RB",AE73,VLOOKUP(AF73,$A$2:$B$1048576,2,FALSE)="RB",AF73,VLOOKUP(AG73,$A$2:$B$1048576,2,FALSE)="RB",AG73,VLOOKUP(AH73,$A$2:$B$1048576,2,FALSE)="RB",AH73,VLOOKUP(AI73,$A$2:$B$1048576,2,FALSE)="RB",AI73)</f>
        <v>#N/A</v>
      </c>
      <c r="AM73" t="e">
        <f t="shared" si="9"/>
        <v>#N/A</v>
      </c>
      <c r="AN73" t="e" cm="1">
        <f t="array" ref="AN73">_xlfn.IFS(VLOOKUP(AA73,$A$2:$B$1048576,2,FALSE)="WR",AA73,VLOOKUP(AB73,$A$2:$B$1048576,2,FALSE)="WR",AB73,VLOOKUP(AC73,$A$2:$B$1048576,2,FALSE)="WR",AC73,VLOOKUP(AD73,$A$2:$B$1048576,2,FALSE)="WR",AD73,VLOOKUP(AE73,$A$2:$B$1048576,2,FALSE)="WR",AE73,VLOOKUP(AF73,$A$2:$B$1048576,2,FALSE)="WR",AF73,VLOOKUP(AG73,$A$2:$B$1048576,2,FALSE)="WR",AG73,VLOOKUP(AH73,$A$2:$B$1048576,2,FALSE)="WR",AH73,VLOOKUP(AI73,$A$2:$B$1048576,2,FALSE)="WR",AI73)</f>
        <v>#N/A</v>
      </c>
      <c r="AO73" t="e">
        <f t="shared" si="10"/>
        <v>#N/A</v>
      </c>
      <c r="AP73" t="e">
        <f t="shared" si="11"/>
        <v>#N/A</v>
      </c>
      <c r="AQ73" t="e" cm="1">
        <f t="array" ref="AQ73">_xlfn.IFS(VLOOKUP(AA73,$A$2:$B$1048576,2,FALSE)="TE",AA73,VLOOKUP(AB73,$A$2:$B$1048576,2,FALSE)="TE",AB73,VLOOKUP(AC73,$A$2:$B$1048576,2,FALSE)="TE",AC73,VLOOKUP(AD73,$A$2:$B$1048576,2,FALSE)="TE",AD73,VLOOKUP(AE73,$A$2:$B$1048576,2,FALSE)="TE",AE73,VLOOKUP(AF73,$A$2:$B$1048576,2,FALSE)="TE",AF73,VLOOKUP(AG73,$A$2:$B$1048576,2,FALSE)="TE",AG73,VLOOKUP(AH73,$A$2:$B$1048576,2,FALSE)="TE",AH73,VLOOKUP(AI73,$A$2:$B$1048576,2,FALSE)="TE",AI73)</f>
        <v>#N/A</v>
      </c>
      <c r="AR73" t="e" cm="1">
        <f t="array" ref="AR73">_xlfn.IFS(IF(OR(AA73=AK73,AA73=AL73,AA73=AM73,AA73=AN73,AA73=AO73,AA73=AP73,AA73=AQ73,AA73=AS73),1,0)=0,AA73,IF(OR(AB73=AK73,AB73=AL73,AB73=AM73,AB73=AN73,AB73=AO73,AB73=AP73,AB73=AQ73,AB73=AS73),1,0)=0,AB73,IF(OR(AC73=AK73,AC73=AL73,AC73=AM73,AC73=AN73,AC73=AO73,AC73=AP73,AC73=AQ73,AC73=AS73),1,0)=0,AC73,IF(OR(AD73=AK73,AD73=AL73,AD73=AM73,AD73=AN73,AD73=AO73,AD73=AP73,AD73=AQ73,AD73=AS73),1,0)=0,AD73,IF(OR(AE73=AK73,AE73=AL73,AE73=AM73,AE73=AN73,AE73=AO73,AE73=AP73,AE73=AQ73,AE73=AS73),1,0)=0,AE73,IF(OR(AF73=AK73,AF73=AL73,AF73=AM73,AF73=AN73,AF73=AO73,AF73=AP73,AF73=AQ73,AF73=AS73),1,0)=0,AF73,IF(OR(AG73=AK73,AG73=AL73,AG73=AM73,AG73=AN73,AG73=AO73,AG73=AP73,AG73=AQ73,AG73=AS73),1,0)=0,AG73,IF(OR(AH73=AK73,AH73=AL73,AH73=AM73,AH73=AN73,AH73=AO73,AH73=AP73,AH73=AQ73,AH73=AS73),1,0)=0,AH73,IF(OR(AI73=AK73,AI73=AL73,AI73=AM73,AI73=AN73,AI73=AO73,AI73=AP73,AI73=AQ73,AI73=AS73),1,0)=0,AI73)</f>
        <v>#N/A</v>
      </c>
      <c r="AS73" t="e" cm="1">
        <f t="array" ref="AS73">_xlfn.IFS(VLOOKUP(AA73,$A$2:$B$1048576,2,FALSE)="DST",AA73,VLOOKUP(AB73,$A$2:$B$1048576,2,FALSE)="DST",AB73,VLOOKUP(AC73,$A$2:$B$1048576,2,FALSE)="DST",AC73,VLOOKUP(AD73,$A$2:$B$1048576,2,FALSE)="DST",AD73,VLOOKUP(AE73,$A$2:$B$1048576,2,FALSE)="DST",AE73,VLOOKUP(AF73,$A$2:$B$1048576,2,FALSE)="DST",AF73,VLOOKUP(AG73,$A$2:$B$1048576,2,FALSE)="DST",AG73,VLOOKUP(AH73,$A$2:$B$1048576,2,FALSE)="DST",AH73,VLOOKUP(AI73,$A$2:$B$1048576,2,FALSE)="DST",AI73)</f>
        <v>#N/A</v>
      </c>
    </row>
    <row r="74" spans="1:45" x14ac:dyDescent="0.35">
      <c r="A74" t="s">
        <v>97</v>
      </c>
      <c r="B74" s="11" t="s">
        <v>10</v>
      </c>
      <c r="C74" s="11">
        <v>5800</v>
      </c>
      <c r="D74" s="12">
        <v>14.711899999999998</v>
      </c>
      <c r="E74" s="12">
        <v>15.237143913188916</v>
      </c>
      <c r="F74" s="12">
        <v>32.044883269590514</v>
      </c>
      <c r="H74" s="11">
        <v>0</v>
      </c>
      <c r="I74">
        <f>IF(B74="QB",H74*1,0)</f>
        <v>0</v>
      </c>
      <c r="J74">
        <f>IF(B74="RB",H74*1,0)</f>
        <v>0</v>
      </c>
      <c r="K74">
        <f>IF(B74="WR",H74*1,0)</f>
        <v>0</v>
      </c>
      <c r="L74">
        <f>IF(B74="TE",H74*1,0)</f>
        <v>0</v>
      </c>
      <c r="M74">
        <f>IF(B74="DST",H74*1,0)</f>
        <v>0</v>
      </c>
      <c r="X74" s="11">
        <f t="shared" si="7"/>
        <v>1</v>
      </c>
      <c r="Y74" s="9">
        <v>73</v>
      </c>
      <c r="Z74" s="12">
        <f t="shared" si="8"/>
        <v>0</v>
      </c>
      <c r="AK74" t="e" cm="1">
        <f t="array" ref="AK74">_xlfn.IFS(VLOOKUP(AA74,$A$2:$B$1048576,2,FALSE)="QB",AA74,VLOOKUP(AB74,$A$2:$B$1048576,2,FALSE)="QB",AB74,VLOOKUP(AC74,$A$2:$B$1048576,2,FALSE)="QB",AC74,VLOOKUP(AD74,$A$2:$B$1048576,2,FALSE)="QB",AD74,VLOOKUP(AE74,$A$2:$B$1048576,2,FALSE)="QB",AE74,VLOOKUP(AF74,$A$2:$B$1048576,2,FALSE)="QB",AF74,VLOOKUP(AG74,$A$2:$B$1048576,2,FALSE)="QB",AG74,VLOOKUP(AH74,$A$2:$B$1048576,2,FALSE)="QB",AH74,VLOOKUP(AI74,$A$2:$B$1048576,2,FALSE)="QB",AI74)</f>
        <v>#N/A</v>
      </c>
      <c r="AL74" t="e" cm="1">
        <f t="array" ref="AL74">_xlfn.IFS(VLOOKUP(AA74,$A$2:$B$1048576,2,FALSE)="RB",AA74,VLOOKUP(AB74,$A$2:$B$1048576,2,FALSE)="RB",AB74,VLOOKUP(AC74,$A$2:$B$1048576,2,FALSE)="RB",AC74,VLOOKUP(AD74,$A$2:$B$1048576,2,FALSE)="RB",AD74,VLOOKUP(AE74,$A$2:$B$1048576,2,FALSE)="RB",AE74,VLOOKUP(AF74,$A$2:$B$1048576,2,FALSE)="RB",AF74,VLOOKUP(AG74,$A$2:$B$1048576,2,FALSE)="RB",AG74,VLOOKUP(AH74,$A$2:$B$1048576,2,FALSE)="RB",AH74,VLOOKUP(AI74,$A$2:$B$1048576,2,FALSE)="RB",AI74)</f>
        <v>#N/A</v>
      </c>
      <c r="AM74" t="e">
        <f t="shared" si="9"/>
        <v>#N/A</v>
      </c>
      <c r="AN74" t="e" cm="1">
        <f t="array" ref="AN74">_xlfn.IFS(VLOOKUP(AA74,$A$2:$B$1048576,2,FALSE)="WR",AA74,VLOOKUP(AB74,$A$2:$B$1048576,2,FALSE)="WR",AB74,VLOOKUP(AC74,$A$2:$B$1048576,2,FALSE)="WR",AC74,VLOOKUP(AD74,$A$2:$B$1048576,2,FALSE)="WR",AD74,VLOOKUP(AE74,$A$2:$B$1048576,2,FALSE)="WR",AE74,VLOOKUP(AF74,$A$2:$B$1048576,2,FALSE)="WR",AF74,VLOOKUP(AG74,$A$2:$B$1048576,2,FALSE)="WR",AG74,VLOOKUP(AH74,$A$2:$B$1048576,2,FALSE)="WR",AH74,VLOOKUP(AI74,$A$2:$B$1048576,2,FALSE)="WR",AI74)</f>
        <v>#N/A</v>
      </c>
      <c r="AO74" t="e">
        <f t="shared" si="10"/>
        <v>#N/A</v>
      </c>
      <c r="AP74" t="e">
        <f t="shared" si="11"/>
        <v>#N/A</v>
      </c>
      <c r="AQ74" t="e" cm="1">
        <f t="array" ref="AQ74">_xlfn.IFS(VLOOKUP(AA74,$A$2:$B$1048576,2,FALSE)="TE",AA74,VLOOKUP(AB74,$A$2:$B$1048576,2,FALSE)="TE",AB74,VLOOKUP(AC74,$A$2:$B$1048576,2,FALSE)="TE",AC74,VLOOKUP(AD74,$A$2:$B$1048576,2,FALSE)="TE",AD74,VLOOKUP(AE74,$A$2:$B$1048576,2,FALSE)="TE",AE74,VLOOKUP(AF74,$A$2:$B$1048576,2,FALSE)="TE",AF74,VLOOKUP(AG74,$A$2:$B$1048576,2,FALSE)="TE",AG74,VLOOKUP(AH74,$A$2:$B$1048576,2,FALSE)="TE",AH74,VLOOKUP(AI74,$A$2:$B$1048576,2,FALSE)="TE",AI74)</f>
        <v>#N/A</v>
      </c>
      <c r="AR74" t="e" cm="1">
        <f t="array" ref="AR74">_xlfn.IFS(IF(OR(AA74=AK74,AA74=AL74,AA74=AM74,AA74=AN74,AA74=AO74,AA74=AP74,AA74=AQ74,AA74=AS74),1,0)=0,AA74,IF(OR(AB74=AK74,AB74=AL74,AB74=AM74,AB74=AN74,AB74=AO74,AB74=AP74,AB74=AQ74,AB74=AS74),1,0)=0,AB74,IF(OR(AC74=AK74,AC74=AL74,AC74=AM74,AC74=AN74,AC74=AO74,AC74=AP74,AC74=AQ74,AC74=AS74),1,0)=0,AC74,IF(OR(AD74=AK74,AD74=AL74,AD74=AM74,AD74=AN74,AD74=AO74,AD74=AP74,AD74=AQ74,AD74=AS74),1,0)=0,AD74,IF(OR(AE74=AK74,AE74=AL74,AE74=AM74,AE74=AN74,AE74=AO74,AE74=AP74,AE74=AQ74,AE74=AS74),1,0)=0,AE74,IF(OR(AF74=AK74,AF74=AL74,AF74=AM74,AF74=AN74,AF74=AO74,AF74=AP74,AF74=AQ74,AF74=AS74),1,0)=0,AF74,IF(OR(AG74=AK74,AG74=AL74,AG74=AM74,AG74=AN74,AG74=AO74,AG74=AP74,AG74=AQ74,AG74=AS74),1,0)=0,AG74,IF(OR(AH74=AK74,AH74=AL74,AH74=AM74,AH74=AN74,AH74=AO74,AH74=AP74,AH74=AQ74,AH74=AS74),1,0)=0,AH74,IF(OR(AI74=AK74,AI74=AL74,AI74=AM74,AI74=AN74,AI74=AO74,AI74=AP74,AI74=AQ74,AI74=AS74),1,0)=0,AI74)</f>
        <v>#N/A</v>
      </c>
      <c r="AS74" t="e" cm="1">
        <f t="array" ref="AS74">_xlfn.IFS(VLOOKUP(AA74,$A$2:$B$1048576,2,FALSE)="DST",AA74,VLOOKUP(AB74,$A$2:$B$1048576,2,FALSE)="DST",AB74,VLOOKUP(AC74,$A$2:$B$1048576,2,FALSE)="DST",AC74,VLOOKUP(AD74,$A$2:$B$1048576,2,FALSE)="DST",AD74,VLOOKUP(AE74,$A$2:$B$1048576,2,FALSE)="DST",AE74,VLOOKUP(AF74,$A$2:$B$1048576,2,FALSE)="DST",AF74,VLOOKUP(AG74,$A$2:$B$1048576,2,FALSE)="DST",AG74,VLOOKUP(AH74,$A$2:$B$1048576,2,FALSE)="DST",AH74,VLOOKUP(AI74,$A$2:$B$1048576,2,FALSE)="DST",AI74)</f>
        <v>#N/A</v>
      </c>
    </row>
    <row r="75" spans="1:45" x14ac:dyDescent="0.35">
      <c r="A75" t="s">
        <v>98</v>
      </c>
      <c r="B75" s="11" t="s">
        <v>10</v>
      </c>
      <c r="C75" s="11">
        <v>5300</v>
      </c>
      <c r="D75" s="12">
        <v>13.508566666666665</v>
      </c>
      <c r="E75" s="12">
        <v>13.931539951689638</v>
      </c>
      <c r="F75" s="12">
        <v>28.449176190027071</v>
      </c>
      <c r="H75" s="11">
        <v>0</v>
      </c>
      <c r="I75">
        <f>IF(B75="QB",H75*1,0)</f>
        <v>0</v>
      </c>
      <c r="J75">
        <f>IF(B75="RB",H75*1,0)</f>
        <v>0</v>
      </c>
      <c r="K75">
        <f>IF(B75="WR",H75*1,0)</f>
        <v>0</v>
      </c>
      <c r="L75">
        <f>IF(B75="TE",H75*1,0)</f>
        <v>0</v>
      </c>
      <c r="M75">
        <f>IF(B75="DST",H75*1,0)</f>
        <v>0</v>
      </c>
      <c r="X75" s="11">
        <f t="shared" si="7"/>
        <v>1</v>
      </c>
      <c r="Y75" s="9">
        <v>74</v>
      </c>
      <c r="Z75" s="12">
        <f t="shared" si="8"/>
        <v>0</v>
      </c>
      <c r="AK75" t="e" cm="1">
        <f t="array" ref="AK75">_xlfn.IFS(VLOOKUP(AA75,$A$2:$B$1048576,2,FALSE)="QB",AA75,VLOOKUP(AB75,$A$2:$B$1048576,2,FALSE)="QB",AB75,VLOOKUP(AC75,$A$2:$B$1048576,2,FALSE)="QB",AC75,VLOOKUP(AD75,$A$2:$B$1048576,2,FALSE)="QB",AD75,VLOOKUP(AE75,$A$2:$B$1048576,2,FALSE)="QB",AE75,VLOOKUP(AF75,$A$2:$B$1048576,2,FALSE)="QB",AF75,VLOOKUP(AG75,$A$2:$B$1048576,2,FALSE)="QB",AG75,VLOOKUP(AH75,$A$2:$B$1048576,2,FALSE)="QB",AH75,VLOOKUP(AI75,$A$2:$B$1048576,2,FALSE)="QB",AI75)</f>
        <v>#N/A</v>
      </c>
      <c r="AL75" t="e" cm="1">
        <f t="array" ref="AL75">_xlfn.IFS(VLOOKUP(AA75,$A$2:$B$1048576,2,FALSE)="RB",AA75,VLOOKUP(AB75,$A$2:$B$1048576,2,FALSE)="RB",AB75,VLOOKUP(AC75,$A$2:$B$1048576,2,FALSE)="RB",AC75,VLOOKUP(AD75,$A$2:$B$1048576,2,FALSE)="RB",AD75,VLOOKUP(AE75,$A$2:$B$1048576,2,FALSE)="RB",AE75,VLOOKUP(AF75,$A$2:$B$1048576,2,FALSE)="RB",AF75,VLOOKUP(AG75,$A$2:$B$1048576,2,FALSE)="RB",AG75,VLOOKUP(AH75,$A$2:$B$1048576,2,FALSE)="RB",AH75,VLOOKUP(AI75,$A$2:$B$1048576,2,FALSE)="RB",AI75)</f>
        <v>#N/A</v>
      </c>
      <c r="AM75" t="e">
        <f t="shared" si="9"/>
        <v>#N/A</v>
      </c>
      <c r="AN75" t="e" cm="1">
        <f t="array" ref="AN75">_xlfn.IFS(VLOOKUP(AA75,$A$2:$B$1048576,2,FALSE)="WR",AA75,VLOOKUP(AB75,$A$2:$B$1048576,2,FALSE)="WR",AB75,VLOOKUP(AC75,$A$2:$B$1048576,2,FALSE)="WR",AC75,VLOOKUP(AD75,$A$2:$B$1048576,2,FALSE)="WR",AD75,VLOOKUP(AE75,$A$2:$B$1048576,2,FALSE)="WR",AE75,VLOOKUP(AF75,$A$2:$B$1048576,2,FALSE)="WR",AF75,VLOOKUP(AG75,$A$2:$B$1048576,2,FALSE)="WR",AG75,VLOOKUP(AH75,$A$2:$B$1048576,2,FALSE)="WR",AH75,VLOOKUP(AI75,$A$2:$B$1048576,2,FALSE)="WR",AI75)</f>
        <v>#N/A</v>
      </c>
      <c r="AO75" t="e">
        <f t="shared" si="10"/>
        <v>#N/A</v>
      </c>
      <c r="AP75" t="e">
        <f t="shared" si="11"/>
        <v>#N/A</v>
      </c>
      <c r="AQ75" t="e" cm="1">
        <f t="array" ref="AQ75">_xlfn.IFS(VLOOKUP(AA75,$A$2:$B$1048576,2,FALSE)="TE",AA75,VLOOKUP(AB75,$A$2:$B$1048576,2,FALSE)="TE",AB75,VLOOKUP(AC75,$A$2:$B$1048576,2,FALSE)="TE",AC75,VLOOKUP(AD75,$A$2:$B$1048576,2,FALSE)="TE",AD75,VLOOKUP(AE75,$A$2:$B$1048576,2,FALSE)="TE",AE75,VLOOKUP(AF75,$A$2:$B$1048576,2,FALSE)="TE",AF75,VLOOKUP(AG75,$A$2:$B$1048576,2,FALSE)="TE",AG75,VLOOKUP(AH75,$A$2:$B$1048576,2,FALSE)="TE",AH75,VLOOKUP(AI75,$A$2:$B$1048576,2,FALSE)="TE",AI75)</f>
        <v>#N/A</v>
      </c>
      <c r="AR75" t="e" cm="1">
        <f t="array" ref="AR75">_xlfn.IFS(IF(OR(AA75=AK75,AA75=AL75,AA75=AM75,AA75=AN75,AA75=AO75,AA75=AP75,AA75=AQ75,AA75=AS75),1,0)=0,AA75,IF(OR(AB75=AK75,AB75=AL75,AB75=AM75,AB75=AN75,AB75=AO75,AB75=AP75,AB75=AQ75,AB75=AS75),1,0)=0,AB75,IF(OR(AC75=AK75,AC75=AL75,AC75=AM75,AC75=AN75,AC75=AO75,AC75=AP75,AC75=AQ75,AC75=AS75),1,0)=0,AC75,IF(OR(AD75=AK75,AD75=AL75,AD75=AM75,AD75=AN75,AD75=AO75,AD75=AP75,AD75=AQ75,AD75=AS75),1,0)=0,AD75,IF(OR(AE75=AK75,AE75=AL75,AE75=AM75,AE75=AN75,AE75=AO75,AE75=AP75,AE75=AQ75,AE75=AS75),1,0)=0,AE75,IF(OR(AF75=AK75,AF75=AL75,AF75=AM75,AF75=AN75,AF75=AO75,AF75=AP75,AF75=AQ75,AF75=AS75),1,0)=0,AF75,IF(OR(AG75=AK75,AG75=AL75,AG75=AM75,AG75=AN75,AG75=AO75,AG75=AP75,AG75=AQ75,AG75=AS75),1,0)=0,AG75,IF(OR(AH75=AK75,AH75=AL75,AH75=AM75,AH75=AN75,AH75=AO75,AH75=AP75,AH75=AQ75,AH75=AS75),1,0)=0,AH75,IF(OR(AI75=AK75,AI75=AL75,AI75=AM75,AI75=AN75,AI75=AO75,AI75=AP75,AI75=AQ75,AI75=AS75),1,0)=0,AI75)</f>
        <v>#N/A</v>
      </c>
      <c r="AS75" t="e" cm="1">
        <f t="array" ref="AS75">_xlfn.IFS(VLOOKUP(AA75,$A$2:$B$1048576,2,FALSE)="DST",AA75,VLOOKUP(AB75,$A$2:$B$1048576,2,FALSE)="DST",AB75,VLOOKUP(AC75,$A$2:$B$1048576,2,FALSE)="DST",AC75,VLOOKUP(AD75,$A$2:$B$1048576,2,FALSE)="DST",AD75,VLOOKUP(AE75,$A$2:$B$1048576,2,FALSE)="DST",AE75,VLOOKUP(AF75,$A$2:$B$1048576,2,FALSE)="DST",AF75,VLOOKUP(AG75,$A$2:$B$1048576,2,FALSE)="DST",AG75,VLOOKUP(AH75,$A$2:$B$1048576,2,FALSE)="DST",AH75,VLOOKUP(AI75,$A$2:$B$1048576,2,FALSE)="DST",AI75)</f>
        <v>#N/A</v>
      </c>
    </row>
    <row r="76" spans="1:45" x14ac:dyDescent="0.35">
      <c r="A76" t="s">
        <v>99</v>
      </c>
      <c r="B76" s="11" t="s">
        <v>10</v>
      </c>
      <c r="C76" s="11">
        <v>4100</v>
      </c>
      <c r="D76" s="12">
        <v>10.5129</v>
      </c>
      <c r="E76" s="12">
        <v>10.816780393951104</v>
      </c>
      <c r="F76" s="12">
        <v>19.491584313892275</v>
      </c>
      <c r="H76" s="11">
        <v>0</v>
      </c>
      <c r="I76">
        <f>IF(B76="QB",H76*1,0)</f>
        <v>0</v>
      </c>
      <c r="J76">
        <f>IF(B76="RB",H76*1,0)</f>
        <v>0</v>
      </c>
      <c r="K76">
        <f>IF(B76="WR",H76*1,0)</f>
        <v>0</v>
      </c>
      <c r="L76">
        <f>IF(B76="TE",H76*1,0)</f>
        <v>0</v>
      </c>
      <c r="M76">
        <f>IF(B76="DST",H76*1,0)</f>
        <v>0</v>
      </c>
      <c r="X76" s="11">
        <f t="shared" si="7"/>
        <v>1</v>
      </c>
      <c r="Y76" s="9">
        <v>75</v>
      </c>
      <c r="Z76" s="12">
        <f t="shared" si="8"/>
        <v>0</v>
      </c>
      <c r="AK76" t="e" cm="1">
        <f t="array" ref="AK76">_xlfn.IFS(VLOOKUP(AA76,$A$2:$B$1048576,2,FALSE)="QB",AA76,VLOOKUP(AB76,$A$2:$B$1048576,2,FALSE)="QB",AB76,VLOOKUP(AC76,$A$2:$B$1048576,2,FALSE)="QB",AC76,VLOOKUP(AD76,$A$2:$B$1048576,2,FALSE)="QB",AD76,VLOOKUP(AE76,$A$2:$B$1048576,2,FALSE)="QB",AE76,VLOOKUP(AF76,$A$2:$B$1048576,2,FALSE)="QB",AF76,VLOOKUP(AG76,$A$2:$B$1048576,2,FALSE)="QB",AG76,VLOOKUP(AH76,$A$2:$B$1048576,2,FALSE)="QB",AH76,VLOOKUP(AI76,$A$2:$B$1048576,2,FALSE)="QB",AI76)</f>
        <v>#N/A</v>
      </c>
      <c r="AL76" t="e" cm="1">
        <f t="array" ref="AL76">_xlfn.IFS(VLOOKUP(AA76,$A$2:$B$1048576,2,FALSE)="RB",AA76,VLOOKUP(AB76,$A$2:$B$1048576,2,FALSE)="RB",AB76,VLOOKUP(AC76,$A$2:$B$1048576,2,FALSE)="RB",AC76,VLOOKUP(AD76,$A$2:$B$1048576,2,FALSE)="RB",AD76,VLOOKUP(AE76,$A$2:$B$1048576,2,FALSE)="RB",AE76,VLOOKUP(AF76,$A$2:$B$1048576,2,FALSE)="RB",AF76,VLOOKUP(AG76,$A$2:$B$1048576,2,FALSE)="RB",AG76,VLOOKUP(AH76,$A$2:$B$1048576,2,FALSE)="RB",AH76,VLOOKUP(AI76,$A$2:$B$1048576,2,FALSE)="RB",AI76)</f>
        <v>#N/A</v>
      </c>
      <c r="AM76" t="e">
        <f t="shared" si="9"/>
        <v>#N/A</v>
      </c>
      <c r="AN76" t="e" cm="1">
        <f t="array" ref="AN76">_xlfn.IFS(VLOOKUP(AA76,$A$2:$B$1048576,2,FALSE)="WR",AA76,VLOOKUP(AB76,$A$2:$B$1048576,2,FALSE)="WR",AB76,VLOOKUP(AC76,$A$2:$B$1048576,2,FALSE)="WR",AC76,VLOOKUP(AD76,$A$2:$B$1048576,2,FALSE)="WR",AD76,VLOOKUP(AE76,$A$2:$B$1048576,2,FALSE)="WR",AE76,VLOOKUP(AF76,$A$2:$B$1048576,2,FALSE)="WR",AF76,VLOOKUP(AG76,$A$2:$B$1048576,2,FALSE)="WR",AG76,VLOOKUP(AH76,$A$2:$B$1048576,2,FALSE)="WR",AH76,VLOOKUP(AI76,$A$2:$B$1048576,2,FALSE)="WR",AI76)</f>
        <v>#N/A</v>
      </c>
      <c r="AO76" t="e">
        <f t="shared" si="10"/>
        <v>#N/A</v>
      </c>
      <c r="AP76" t="e">
        <f t="shared" si="11"/>
        <v>#N/A</v>
      </c>
      <c r="AQ76" t="e" cm="1">
        <f t="array" ref="AQ76">_xlfn.IFS(VLOOKUP(AA76,$A$2:$B$1048576,2,FALSE)="TE",AA76,VLOOKUP(AB76,$A$2:$B$1048576,2,FALSE)="TE",AB76,VLOOKUP(AC76,$A$2:$B$1048576,2,FALSE)="TE",AC76,VLOOKUP(AD76,$A$2:$B$1048576,2,FALSE)="TE",AD76,VLOOKUP(AE76,$A$2:$B$1048576,2,FALSE)="TE",AE76,VLOOKUP(AF76,$A$2:$B$1048576,2,FALSE)="TE",AF76,VLOOKUP(AG76,$A$2:$B$1048576,2,FALSE)="TE",AG76,VLOOKUP(AH76,$A$2:$B$1048576,2,FALSE)="TE",AH76,VLOOKUP(AI76,$A$2:$B$1048576,2,FALSE)="TE",AI76)</f>
        <v>#N/A</v>
      </c>
      <c r="AR76" t="e" cm="1">
        <f t="array" ref="AR76">_xlfn.IFS(IF(OR(AA76=AK76,AA76=AL76,AA76=AM76,AA76=AN76,AA76=AO76,AA76=AP76,AA76=AQ76,AA76=AS76),1,0)=0,AA76,IF(OR(AB76=AK76,AB76=AL76,AB76=AM76,AB76=AN76,AB76=AO76,AB76=AP76,AB76=AQ76,AB76=AS76),1,0)=0,AB76,IF(OR(AC76=AK76,AC76=AL76,AC76=AM76,AC76=AN76,AC76=AO76,AC76=AP76,AC76=AQ76,AC76=AS76),1,0)=0,AC76,IF(OR(AD76=AK76,AD76=AL76,AD76=AM76,AD76=AN76,AD76=AO76,AD76=AP76,AD76=AQ76,AD76=AS76),1,0)=0,AD76,IF(OR(AE76=AK76,AE76=AL76,AE76=AM76,AE76=AN76,AE76=AO76,AE76=AP76,AE76=AQ76,AE76=AS76),1,0)=0,AE76,IF(OR(AF76=AK76,AF76=AL76,AF76=AM76,AF76=AN76,AF76=AO76,AF76=AP76,AF76=AQ76,AF76=AS76),1,0)=0,AF76,IF(OR(AG76=AK76,AG76=AL76,AG76=AM76,AG76=AN76,AG76=AO76,AG76=AP76,AG76=AQ76,AG76=AS76),1,0)=0,AG76,IF(OR(AH76=AK76,AH76=AL76,AH76=AM76,AH76=AN76,AH76=AO76,AH76=AP76,AH76=AQ76,AH76=AS76),1,0)=0,AH76,IF(OR(AI76=AK76,AI76=AL76,AI76=AM76,AI76=AN76,AI76=AO76,AI76=AP76,AI76=AQ76,AI76=AS76),1,0)=0,AI76)</f>
        <v>#N/A</v>
      </c>
      <c r="AS76" t="e" cm="1">
        <f t="array" ref="AS76">_xlfn.IFS(VLOOKUP(AA76,$A$2:$B$1048576,2,FALSE)="DST",AA76,VLOOKUP(AB76,$A$2:$B$1048576,2,FALSE)="DST",AB76,VLOOKUP(AC76,$A$2:$B$1048576,2,FALSE)="DST",AC76,VLOOKUP(AD76,$A$2:$B$1048576,2,FALSE)="DST",AD76,VLOOKUP(AE76,$A$2:$B$1048576,2,FALSE)="DST",AE76,VLOOKUP(AF76,$A$2:$B$1048576,2,FALSE)="DST",AF76,VLOOKUP(AG76,$A$2:$B$1048576,2,FALSE)="DST",AG76,VLOOKUP(AH76,$A$2:$B$1048576,2,FALSE)="DST",AH76,VLOOKUP(AI76,$A$2:$B$1048576,2,FALSE)="DST",AI76)</f>
        <v>#N/A</v>
      </c>
    </row>
    <row r="77" spans="1:45" x14ac:dyDescent="0.35">
      <c r="A77" t="s">
        <v>100</v>
      </c>
      <c r="B77" s="11" t="s">
        <v>10</v>
      </c>
      <c r="C77" s="11">
        <v>5900</v>
      </c>
      <c r="D77" s="12">
        <v>14.521399999999998</v>
      </c>
      <c r="E77" s="12">
        <v>15.057407235770745</v>
      </c>
      <c r="F77" s="12">
        <v>31.454258761101691</v>
      </c>
      <c r="H77" s="11">
        <v>0</v>
      </c>
      <c r="I77">
        <f>IF(B77="QB",H77*1,0)</f>
        <v>0</v>
      </c>
      <c r="J77">
        <f>IF(B77="RB",H77*1,0)</f>
        <v>0</v>
      </c>
      <c r="K77">
        <f>IF(B77="WR",H77*1,0)</f>
        <v>0</v>
      </c>
      <c r="L77">
        <f>IF(B77="TE",H77*1,0)</f>
        <v>0</v>
      </c>
      <c r="M77">
        <f>IF(B77="DST",H77*1,0)</f>
        <v>0</v>
      </c>
      <c r="X77" s="11">
        <f t="shared" si="7"/>
        <v>1</v>
      </c>
      <c r="Y77" s="9">
        <v>76</v>
      </c>
      <c r="Z77" s="12">
        <f t="shared" si="8"/>
        <v>0</v>
      </c>
      <c r="AK77" t="e" cm="1">
        <f t="array" ref="AK77">_xlfn.IFS(VLOOKUP(AA77,$A$2:$B$1048576,2,FALSE)="QB",AA77,VLOOKUP(AB77,$A$2:$B$1048576,2,FALSE)="QB",AB77,VLOOKUP(AC77,$A$2:$B$1048576,2,FALSE)="QB",AC77,VLOOKUP(AD77,$A$2:$B$1048576,2,FALSE)="QB",AD77,VLOOKUP(AE77,$A$2:$B$1048576,2,FALSE)="QB",AE77,VLOOKUP(AF77,$A$2:$B$1048576,2,FALSE)="QB",AF77,VLOOKUP(AG77,$A$2:$B$1048576,2,FALSE)="QB",AG77,VLOOKUP(AH77,$A$2:$B$1048576,2,FALSE)="QB",AH77,VLOOKUP(AI77,$A$2:$B$1048576,2,FALSE)="QB",AI77)</f>
        <v>#N/A</v>
      </c>
      <c r="AL77" t="e" cm="1">
        <f t="array" ref="AL77">_xlfn.IFS(VLOOKUP(AA77,$A$2:$B$1048576,2,FALSE)="RB",AA77,VLOOKUP(AB77,$A$2:$B$1048576,2,FALSE)="RB",AB77,VLOOKUP(AC77,$A$2:$B$1048576,2,FALSE)="RB",AC77,VLOOKUP(AD77,$A$2:$B$1048576,2,FALSE)="RB",AD77,VLOOKUP(AE77,$A$2:$B$1048576,2,FALSE)="RB",AE77,VLOOKUP(AF77,$A$2:$B$1048576,2,FALSE)="RB",AF77,VLOOKUP(AG77,$A$2:$B$1048576,2,FALSE)="RB",AG77,VLOOKUP(AH77,$A$2:$B$1048576,2,FALSE)="RB",AH77,VLOOKUP(AI77,$A$2:$B$1048576,2,FALSE)="RB",AI77)</f>
        <v>#N/A</v>
      </c>
      <c r="AM77" t="e">
        <f t="shared" si="9"/>
        <v>#N/A</v>
      </c>
      <c r="AN77" t="e" cm="1">
        <f t="array" ref="AN77">_xlfn.IFS(VLOOKUP(AA77,$A$2:$B$1048576,2,FALSE)="WR",AA77,VLOOKUP(AB77,$A$2:$B$1048576,2,FALSE)="WR",AB77,VLOOKUP(AC77,$A$2:$B$1048576,2,FALSE)="WR",AC77,VLOOKUP(AD77,$A$2:$B$1048576,2,FALSE)="WR",AD77,VLOOKUP(AE77,$A$2:$B$1048576,2,FALSE)="WR",AE77,VLOOKUP(AF77,$A$2:$B$1048576,2,FALSE)="WR",AF77,VLOOKUP(AG77,$A$2:$B$1048576,2,FALSE)="WR",AG77,VLOOKUP(AH77,$A$2:$B$1048576,2,FALSE)="WR",AH77,VLOOKUP(AI77,$A$2:$B$1048576,2,FALSE)="WR",AI77)</f>
        <v>#N/A</v>
      </c>
      <c r="AO77" t="e">
        <f t="shared" si="10"/>
        <v>#N/A</v>
      </c>
      <c r="AP77" t="e">
        <f t="shared" si="11"/>
        <v>#N/A</v>
      </c>
      <c r="AQ77" t="e" cm="1">
        <f t="array" ref="AQ77">_xlfn.IFS(VLOOKUP(AA77,$A$2:$B$1048576,2,FALSE)="TE",AA77,VLOOKUP(AB77,$A$2:$B$1048576,2,FALSE)="TE",AB77,VLOOKUP(AC77,$A$2:$B$1048576,2,FALSE)="TE",AC77,VLOOKUP(AD77,$A$2:$B$1048576,2,FALSE)="TE",AD77,VLOOKUP(AE77,$A$2:$B$1048576,2,FALSE)="TE",AE77,VLOOKUP(AF77,$A$2:$B$1048576,2,FALSE)="TE",AF77,VLOOKUP(AG77,$A$2:$B$1048576,2,FALSE)="TE",AG77,VLOOKUP(AH77,$A$2:$B$1048576,2,FALSE)="TE",AH77,VLOOKUP(AI77,$A$2:$B$1048576,2,FALSE)="TE",AI77)</f>
        <v>#N/A</v>
      </c>
      <c r="AR77" t="e" cm="1">
        <f t="array" ref="AR77">_xlfn.IFS(IF(OR(AA77=AK77,AA77=AL77,AA77=AM77,AA77=AN77,AA77=AO77,AA77=AP77,AA77=AQ77,AA77=AS77),1,0)=0,AA77,IF(OR(AB77=AK77,AB77=AL77,AB77=AM77,AB77=AN77,AB77=AO77,AB77=AP77,AB77=AQ77,AB77=AS77),1,0)=0,AB77,IF(OR(AC77=AK77,AC77=AL77,AC77=AM77,AC77=AN77,AC77=AO77,AC77=AP77,AC77=AQ77,AC77=AS77),1,0)=0,AC77,IF(OR(AD77=AK77,AD77=AL77,AD77=AM77,AD77=AN77,AD77=AO77,AD77=AP77,AD77=AQ77,AD77=AS77),1,0)=0,AD77,IF(OR(AE77=AK77,AE77=AL77,AE77=AM77,AE77=AN77,AE77=AO77,AE77=AP77,AE77=AQ77,AE77=AS77),1,0)=0,AE77,IF(OR(AF77=AK77,AF77=AL77,AF77=AM77,AF77=AN77,AF77=AO77,AF77=AP77,AF77=AQ77,AF77=AS77),1,0)=0,AF77,IF(OR(AG77=AK77,AG77=AL77,AG77=AM77,AG77=AN77,AG77=AO77,AG77=AP77,AG77=AQ77,AG77=AS77),1,0)=0,AG77,IF(OR(AH77=AK77,AH77=AL77,AH77=AM77,AH77=AN77,AH77=AO77,AH77=AP77,AH77=AQ77,AH77=AS77),1,0)=0,AH77,IF(OR(AI77=AK77,AI77=AL77,AI77=AM77,AI77=AN77,AI77=AO77,AI77=AP77,AI77=AQ77,AI77=AS77),1,0)=0,AI77)</f>
        <v>#N/A</v>
      </c>
      <c r="AS77" t="e" cm="1">
        <f t="array" ref="AS77">_xlfn.IFS(VLOOKUP(AA77,$A$2:$B$1048576,2,FALSE)="DST",AA77,VLOOKUP(AB77,$A$2:$B$1048576,2,FALSE)="DST",AB77,VLOOKUP(AC77,$A$2:$B$1048576,2,FALSE)="DST",AC77,VLOOKUP(AD77,$A$2:$B$1048576,2,FALSE)="DST",AD77,VLOOKUP(AE77,$A$2:$B$1048576,2,FALSE)="DST",AE77,VLOOKUP(AF77,$A$2:$B$1048576,2,FALSE)="DST",AF77,VLOOKUP(AG77,$A$2:$B$1048576,2,FALSE)="DST",AG77,VLOOKUP(AH77,$A$2:$B$1048576,2,FALSE)="DST",AH77,VLOOKUP(AI77,$A$2:$B$1048576,2,FALSE)="DST",AI77)</f>
        <v>#N/A</v>
      </c>
    </row>
    <row r="78" spans="1:45" x14ac:dyDescent="0.35">
      <c r="A78" t="s">
        <v>101</v>
      </c>
      <c r="B78" s="11" t="s">
        <v>10</v>
      </c>
      <c r="C78" s="11">
        <v>5100</v>
      </c>
      <c r="D78" s="12">
        <v>12.087066666666665</v>
      </c>
      <c r="E78" s="12">
        <v>13.010743718049094</v>
      </c>
      <c r="F78" s="12">
        <v>24.160507296485104</v>
      </c>
      <c r="H78" s="11">
        <v>0</v>
      </c>
      <c r="I78">
        <f>IF(B78="QB",H78*1,0)</f>
        <v>0</v>
      </c>
      <c r="J78">
        <f>IF(B78="RB",H78*1,0)</f>
        <v>0</v>
      </c>
      <c r="K78">
        <f>IF(B78="WR",H78*1,0)</f>
        <v>0</v>
      </c>
      <c r="L78">
        <f>IF(B78="TE",H78*1,0)</f>
        <v>0</v>
      </c>
      <c r="M78">
        <f>IF(B78="DST",H78*1,0)</f>
        <v>0</v>
      </c>
      <c r="X78" s="11">
        <f t="shared" si="7"/>
        <v>1</v>
      </c>
      <c r="Y78" s="9">
        <v>77</v>
      </c>
      <c r="Z78" s="12">
        <f t="shared" si="8"/>
        <v>0</v>
      </c>
      <c r="AK78" t="e" cm="1">
        <f t="array" ref="AK78">_xlfn.IFS(VLOOKUP(AA78,$A$2:$B$1048576,2,FALSE)="QB",AA78,VLOOKUP(AB78,$A$2:$B$1048576,2,FALSE)="QB",AB78,VLOOKUP(AC78,$A$2:$B$1048576,2,FALSE)="QB",AC78,VLOOKUP(AD78,$A$2:$B$1048576,2,FALSE)="QB",AD78,VLOOKUP(AE78,$A$2:$B$1048576,2,FALSE)="QB",AE78,VLOOKUP(AF78,$A$2:$B$1048576,2,FALSE)="QB",AF78,VLOOKUP(AG78,$A$2:$B$1048576,2,FALSE)="QB",AG78,VLOOKUP(AH78,$A$2:$B$1048576,2,FALSE)="QB",AH78,VLOOKUP(AI78,$A$2:$B$1048576,2,FALSE)="QB",AI78)</f>
        <v>#N/A</v>
      </c>
      <c r="AL78" t="e" cm="1">
        <f t="array" ref="AL78">_xlfn.IFS(VLOOKUP(AA78,$A$2:$B$1048576,2,FALSE)="RB",AA78,VLOOKUP(AB78,$A$2:$B$1048576,2,FALSE)="RB",AB78,VLOOKUP(AC78,$A$2:$B$1048576,2,FALSE)="RB",AC78,VLOOKUP(AD78,$A$2:$B$1048576,2,FALSE)="RB",AD78,VLOOKUP(AE78,$A$2:$B$1048576,2,FALSE)="RB",AE78,VLOOKUP(AF78,$A$2:$B$1048576,2,FALSE)="RB",AF78,VLOOKUP(AG78,$A$2:$B$1048576,2,FALSE)="RB",AG78,VLOOKUP(AH78,$A$2:$B$1048576,2,FALSE)="RB",AH78,VLOOKUP(AI78,$A$2:$B$1048576,2,FALSE)="RB",AI78)</f>
        <v>#N/A</v>
      </c>
      <c r="AM78" t="e">
        <f t="shared" si="9"/>
        <v>#N/A</v>
      </c>
      <c r="AN78" t="e" cm="1">
        <f t="array" ref="AN78">_xlfn.IFS(VLOOKUP(AA78,$A$2:$B$1048576,2,FALSE)="WR",AA78,VLOOKUP(AB78,$A$2:$B$1048576,2,FALSE)="WR",AB78,VLOOKUP(AC78,$A$2:$B$1048576,2,FALSE)="WR",AC78,VLOOKUP(AD78,$A$2:$B$1048576,2,FALSE)="WR",AD78,VLOOKUP(AE78,$A$2:$B$1048576,2,FALSE)="WR",AE78,VLOOKUP(AF78,$A$2:$B$1048576,2,FALSE)="WR",AF78,VLOOKUP(AG78,$A$2:$B$1048576,2,FALSE)="WR",AG78,VLOOKUP(AH78,$A$2:$B$1048576,2,FALSE)="WR",AH78,VLOOKUP(AI78,$A$2:$B$1048576,2,FALSE)="WR",AI78)</f>
        <v>#N/A</v>
      </c>
      <c r="AO78" t="e">
        <f t="shared" si="10"/>
        <v>#N/A</v>
      </c>
      <c r="AP78" t="e">
        <f t="shared" si="11"/>
        <v>#N/A</v>
      </c>
      <c r="AQ78" t="e" cm="1">
        <f t="array" ref="AQ78">_xlfn.IFS(VLOOKUP(AA78,$A$2:$B$1048576,2,FALSE)="TE",AA78,VLOOKUP(AB78,$A$2:$B$1048576,2,FALSE)="TE",AB78,VLOOKUP(AC78,$A$2:$B$1048576,2,FALSE)="TE",AC78,VLOOKUP(AD78,$A$2:$B$1048576,2,FALSE)="TE",AD78,VLOOKUP(AE78,$A$2:$B$1048576,2,FALSE)="TE",AE78,VLOOKUP(AF78,$A$2:$B$1048576,2,FALSE)="TE",AF78,VLOOKUP(AG78,$A$2:$B$1048576,2,FALSE)="TE",AG78,VLOOKUP(AH78,$A$2:$B$1048576,2,FALSE)="TE",AH78,VLOOKUP(AI78,$A$2:$B$1048576,2,FALSE)="TE",AI78)</f>
        <v>#N/A</v>
      </c>
      <c r="AR78" t="e" cm="1">
        <f t="array" ref="AR78">_xlfn.IFS(IF(OR(AA78=AK78,AA78=AL78,AA78=AM78,AA78=AN78,AA78=AO78,AA78=AP78,AA78=AQ78,AA78=AS78),1,0)=0,AA78,IF(OR(AB78=AK78,AB78=AL78,AB78=AM78,AB78=AN78,AB78=AO78,AB78=AP78,AB78=AQ78,AB78=AS78),1,0)=0,AB78,IF(OR(AC78=AK78,AC78=AL78,AC78=AM78,AC78=AN78,AC78=AO78,AC78=AP78,AC78=AQ78,AC78=AS78),1,0)=0,AC78,IF(OR(AD78=AK78,AD78=AL78,AD78=AM78,AD78=AN78,AD78=AO78,AD78=AP78,AD78=AQ78,AD78=AS78),1,0)=0,AD78,IF(OR(AE78=AK78,AE78=AL78,AE78=AM78,AE78=AN78,AE78=AO78,AE78=AP78,AE78=AQ78,AE78=AS78),1,0)=0,AE78,IF(OR(AF78=AK78,AF78=AL78,AF78=AM78,AF78=AN78,AF78=AO78,AF78=AP78,AF78=AQ78,AF78=AS78),1,0)=0,AF78,IF(OR(AG78=AK78,AG78=AL78,AG78=AM78,AG78=AN78,AG78=AO78,AG78=AP78,AG78=AQ78,AG78=AS78),1,0)=0,AG78,IF(OR(AH78=AK78,AH78=AL78,AH78=AM78,AH78=AN78,AH78=AO78,AH78=AP78,AH78=AQ78,AH78=AS78),1,0)=0,AH78,IF(OR(AI78=AK78,AI78=AL78,AI78=AM78,AI78=AN78,AI78=AO78,AI78=AP78,AI78=AQ78,AI78=AS78),1,0)=0,AI78)</f>
        <v>#N/A</v>
      </c>
      <c r="AS78" t="e" cm="1">
        <f t="array" ref="AS78">_xlfn.IFS(VLOOKUP(AA78,$A$2:$B$1048576,2,FALSE)="DST",AA78,VLOOKUP(AB78,$A$2:$B$1048576,2,FALSE)="DST",AB78,VLOOKUP(AC78,$A$2:$B$1048576,2,FALSE)="DST",AC78,VLOOKUP(AD78,$A$2:$B$1048576,2,FALSE)="DST",AD78,VLOOKUP(AE78,$A$2:$B$1048576,2,FALSE)="DST",AE78,VLOOKUP(AF78,$A$2:$B$1048576,2,FALSE)="DST",AF78,VLOOKUP(AG78,$A$2:$B$1048576,2,FALSE)="DST",AG78,VLOOKUP(AH78,$A$2:$B$1048576,2,FALSE)="DST",AH78,VLOOKUP(AI78,$A$2:$B$1048576,2,FALSE)="DST",AI78)</f>
        <v>#N/A</v>
      </c>
    </row>
    <row r="79" spans="1:45" x14ac:dyDescent="0.35">
      <c r="A79" t="s">
        <v>102</v>
      </c>
      <c r="B79" s="11" t="s">
        <v>10</v>
      </c>
      <c r="C79" s="11">
        <v>3800</v>
      </c>
      <c r="D79" s="12">
        <v>9.2377333333333311</v>
      </c>
      <c r="E79" s="12">
        <v>9.3059698363482539</v>
      </c>
      <c r="F79" s="12">
        <v>15.660526337680306</v>
      </c>
      <c r="H79" s="11">
        <v>0</v>
      </c>
      <c r="I79">
        <f>IF(B79="QB",H79*1,0)</f>
        <v>0</v>
      </c>
      <c r="J79">
        <f>IF(B79="RB",H79*1,0)</f>
        <v>0</v>
      </c>
      <c r="K79">
        <f>IF(B79="WR",H79*1,0)</f>
        <v>0</v>
      </c>
      <c r="L79">
        <f>IF(B79="TE",H79*1,0)</f>
        <v>0</v>
      </c>
      <c r="M79">
        <f>IF(B79="DST",H79*1,0)</f>
        <v>0</v>
      </c>
      <c r="X79" s="11">
        <f t="shared" si="7"/>
        <v>1</v>
      </c>
      <c r="Y79" s="9">
        <v>78</v>
      </c>
      <c r="Z79" s="12">
        <f t="shared" si="8"/>
        <v>0</v>
      </c>
      <c r="AK79" t="e" cm="1">
        <f t="array" ref="AK79">_xlfn.IFS(VLOOKUP(AA79,$A$2:$B$1048576,2,FALSE)="QB",AA79,VLOOKUP(AB79,$A$2:$B$1048576,2,FALSE)="QB",AB79,VLOOKUP(AC79,$A$2:$B$1048576,2,FALSE)="QB",AC79,VLOOKUP(AD79,$A$2:$B$1048576,2,FALSE)="QB",AD79,VLOOKUP(AE79,$A$2:$B$1048576,2,FALSE)="QB",AE79,VLOOKUP(AF79,$A$2:$B$1048576,2,FALSE)="QB",AF79,VLOOKUP(AG79,$A$2:$B$1048576,2,FALSE)="QB",AG79,VLOOKUP(AH79,$A$2:$B$1048576,2,FALSE)="QB",AH79,VLOOKUP(AI79,$A$2:$B$1048576,2,FALSE)="QB",AI79)</f>
        <v>#N/A</v>
      </c>
      <c r="AL79" t="e" cm="1">
        <f t="array" ref="AL79">_xlfn.IFS(VLOOKUP(AA79,$A$2:$B$1048576,2,FALSE)="RB",AA79,VLOOKUP(AB79,$A$2:$B$1048576,2,FALSE)="RB",AB79,VLOOKUP(AC79,$A$2:$B$1048576,2,FALSE)="RB",AC79,VLOOKUP(AD79,$A$2:$B$1048576,2,FALSE)="RB",AD79,VLOOKUP(AE79,$A$2:$B$1048576,2,FALSE)="RB",AE79,VLOOKUP(AF79,$A$2:$B$1048576,2,FALSE)="RB",AF79,VLOOKUP(AG79,$A$2:$B$1048576,2,FALSE)="RB",AG79,VLOOKUP(AH79,$A$2:$B$1048576,2,FALSE)="RB",AH79,VLOOKUP(AI79,$A$2:$B$1048576,2,FALSE)="RB",AI79)</f>
        <v>#N/A</v>
      </c>
      <c r="AM79" t="e">
        <f t="shared" si="9"/>
        <v>#N/A</v>
      </c>
      <c r="AN79" t="e" cm="1">
        <f t="array" ref="AN79">_xlfn.IFS(VLOOKUP(AA79,$A$2:$B$1048576,2,FALSE)="WR",AA79,VLOOKUP(AB79,$A$2:$B$1048576,2,FALSE)="WR",AB79,VLOOKUP(AC79,$A$2:$B$1048576,2,FALSE)="WR",AC79,VLOOKUP(AD79,$A$2:$B$1048576,2,FALSE)="WR",AD79,VLOOKUP(AE79,$A$2:$B$1048576,2,FALSE)="WR",AE79,VLOOKUP(AF79,$A$2:$B$1048576,2,FALSE)="WR",AF79,VLOOKUP(AG79,$A$2:$B$1048576,2,FALSE)="WR",AG79,VLOOKUP(AH79,$A$2:$B$1048576,2,FALSE)="WR",AH79,VLOOKUP(AI79,$A$2:$B$1048576,2,FALSE)="WR",AI79)</f>
        <v>#N/A</v>
      </c>
      <c r="AO79" t="e">
        <f t="shared" si="10"/>
        <v>#N/A</v>
      </c>
      <c r="AP79" t="e">
        <f t="shared" si="11"/>
        <v>#N/A</v>
      </c>
      <c r="AQ79" t="e" cm="1">
        <f t="array" ref="AQ79">_xlfn.IFS(VLOOKUP(AA79,$A$2:$B$1048576,2,FALSE)="TE",AA79,VLOOKUP(AB79,$A$2:$B$1048576,2,FALSE)="TE",AB79,VLOOKUP(AC79,$A$2:$B$1048576,2,FALSE)="TE",AC79,VLOOKUP(AD79,$A$2:$B$1048576,2,FALSE)="TE",AD79,VLOOKUP(AE79,$A$2:$B$1048576,2,FALSE)="TE",AE79,VLOOKUP(AF79,$A$2:$B$1048576,2,FALSE)="TE",AF79,VLOOKUP(AG79,$A$2:$B$1048576,2,FALSE)="TE",AG79,VLOOKUP(AH79,$A$2:$B$1048576,2,FALSE)="TE",AH79,VLOOKUP(AI79,$A$2:$B$1048576,2,FALSE)="TE",AI79)</f>
        <v>#N/A</v>
      </c>
      <c r="AR79" t="e" cm="1">
        <f t="array" ref="AR79">_xlfn.IFS(IF(OR(AA79=AK79,AA79=AL79,AA79=AM79,AA79=AN79,AA79=AO79,AA79=AP79,AA79=AQ79,AA79=AS79),1,0)=0,AA79,IF(OR(AB79=AK79,AB79=AL79,AB79=AM79,AB79=AN79,AB79=AO79,AB79=AP79,AB79=AQ79,AB79=AS79),1,0)=0,AB79,IF(OR(AC79=AK79,AC79=AL79,AC79=AM79,AC79=AN79,AC79=AO79,AC79=AP79,AC79=AQ79,AC79=AS79),1,0)=0,AC79,IF(OR(AD79=AK79,AD79=AL79,AD79=AM79,AD79=AN79,AD79=AO79,AD79=AP79,AD79=AQ79,AD79=AS79),1,0)=0,AD79,IF(OR(AE79=AK79,AE79=AL79,AE79=AM79,AE79=AN79,AE79=AO79,AE79=AP79,AE79=AQ79,AE79=AS79),1,0)=0,AE79,IF(OR(AF79=AK79,AF79=AL79,AF79=AM79,AF79=AN79,AF79=AO79,AF79=AP79,AF79=AQ79,AF79=AS79),1,0)=0,AF79,IF(OR(AG79=AK79,AG79=AL79,AG79=AM79,AG79=AN79,AG79=AO79,AG79=AP79,AG79=AQ79,AG79=AS79),1,0)=0,AG79,IF(OR(AH79=AK79,AH79=AL79,AH79=AM79,AH79=AN79,AH79=AO79,AH79=AP79,AH79=AQ79,AH79=AS79),1,0)=0,AH79,IF(OR(AI79=AK79,AI79=AL79,AI79=AM79,AI79=AN79,AI79=AO79,AI79=AP79,AI79=AQ79,AI79=AS79),1,0)=0,AI79)</f>
        <v>#N/A</v>
      </c>
      <c r="AS79" t="e" cm="1">
        <f t="array" ref="AS79">_xlfn.IFS(VLOOKUP(AA79,$A$2:$B$1048576,2,FALSE)="DST",AA79,VLOOKUP(AB79,$A$2:$B$1048576,2,FALSE)="DST",AB79,VLOOKUP(AC79,$A$2:$B$1048576,2,FALSE)="DST",AC79,VLOOKUP(AD79,$A$2:$B$1048576,2,FALSE)="DST",AD79,VLOOKUP(AE79,$A$2:$B$1048576,2,FALSE)="DST",AE79,VLOOKUP(AF79,$A$2:$B$1048576,2,FALSE)="DST",AF79,VLOOKUP(AG79,$A$2:$B$1048576,2,FALSE)="DST",AG79,VLOOKUP(AH79,$A$2:$B$1048576,2,FALSE)="DST",AH79,VLOOKUP(AI79,$A$2:$B$1048576,2,FALSE)="DST",AI79)</f>
        <v>#N/A</v>
      </c>
    </row>
    <row r="80" spans="1:45" x14ac:dyDescent="0.35">
      <c r="A80" t="s">
        <v>103</v>
      </c>
      <c r="B80" s="11" t="s">
        <v>10</v>
      </c>
      <c r="C80" s="11">
        <v>4500</v>
      </c>
      <c r="D80" s="12">
        <v>8.5842333333333318</v>
      </c>
      <c r="E80" s="12">
        <v>8.7636459687514847</v>
      </c>
      <c r="F80" s="12">
        <v>13.653435432204727</v>
      </c>
      <c r="H80" s="11">
        <v>0</v>
      </c>
      <c r="I80">
        <f>IF(B80="QB",H80*1,0)</f>
        <v>0</v>
      </c>
      <c r="J80">
        <f>IF(B80="RB",H80*1,0)</f>
        <v>0</v>
      </c>
      <c r="K80">
        <f>IF(B80="WR",H80*1,0)</f>
        <v>0</v>
      </c>
      <c r="L80">
        <f>IF(B80="TE",H80*1,0)</f>
        <v>0</v>
      </c>
      <c r="M80">
        <f>IF(B80="DST",H80*1,0)</f>
        <v>0</v>
      </c>
      <c r="X80" s="11">
        <f t="shared" si="7"/>
        <v>1</v>
      </c>
      <c r="Y80" s="9">
        <v>79</v>
      </c>
      <c r="Z80" s="12">
        <f t="shared" si="8"/>
        <v>0</v>
      </c>
      <c r="AK80" t="e" cm="1">
        <f t="array" ref="AK80">_xlfn.IFS(VLOOKUP(AA80,$A$2:$B$1048576,2,FALSE)="QB",AA80,VLOOKUP(AB80,$A$2:$B$1048576,2,FALSE)="QB",AB80,VLOOKUP(AC80,$A$2:$B$1048576,2,FALSE)="QB",AC80,VLOOKUP(AD80,$A$2:$B$1048576,2,FALSE)="QB",AD80,VLOOKUP(AE80,$A$2:$B$1048576,2,FALSE)="QB",AE80,VLOOKUP(AF80,$A$2:$B$1048576,2,FALSE)="QB",AF80,VLOOKUP(AG80,$A$2:$B$1048576,2,FALSE)="QB",AG80,VLOOKUP(AH80,$A$2:$B$1048576,2,FALSE)="QB",AH80,VLOOKUP(AI80,$A$2:$B$1048576,2,FALSE)="QB",AI80)</f>
        <v>#N/A</v>
      </c>
      <c r="AL80" t="e" cm="1">
        <f t="array" ref="AL80">_xlfn.IFS(VLOOKUP(AA80,$A$2:$B$1048576,2,FALSE)="RB",AA80,VLOOKUP(AB80,$A$2:$B$1048576,2,FALSE)="RB",AB80,VLOOKUP(AC80,$A$2:$B$1048576,2,FALSE)="RB",AC80,VLOOKUP(AD80,$A$2:$B$1048576,2,FALSE)="RB",AD80,VLOOKUP(AE80,$A$2:$B$1048576,2,FALSE)="RB",AE80,VLOOKUP(AF80,$A$2:$B$1048576,2,FALSE)="RB",AF80,VLOOKUP(AG80,$A$2:$B$1048576,2,FALSE)="RB",AG80,VLOOKUP(AH80,$A$2:$B$1048576,2,FALSE)="RB",AH80,VLOOKUP(AI80,$A$2:$B$1048576,2,FALSE)="RB",AI80)</f>
        <v>#N/A</v>
      </c>
      <c r="AM80" t="e">
        <f t="shared" si="9"/>
        <v>#N/A</v>
      </c>
      <c r="AN80" t="e" cm="1">
        <f t="array" ref="AN80">_xlfn.IFS(VLOOKUP(AA80,$A$2:$B$1048576,2,FALSE)="WR",AA80,VLOOKUP(AB80,$A$2:$B$1048576,2,FALSE)="WR",AB80,VLOOKUP(AC80,$A$2:$B$1048576,2,FALSE)="WR",AC80,VLOOKUP(AD80,$A$2:$B$1048576,2,FALSE)="WR",AD80,VLOOKUP(AE80,$A$2:$B$1048576,2,FALSE)="WR",AE80,VLOOKUP(AF80,$A$2:$B$1048576,2,FALSE)="WR",AF80,VLOOKUP(AG80,$A$2:$B$1048576,2,FALSE)="WR",AG80,VLOOKUP(AH80,$A$2:$B$1048576,2,FALSE)="WR",AH80,VLOOKUP(AI80,$A$2:$B$1048576,2,FALSE)="WR",AI80)</f>
        <v>#N/A</v>
      </c>
      <c r="AO80" t="e">
        <f t="shared" si="10"/>
        <v>#N/A</v>
      </c>
      <c r="AP80" t="e">
        <f t="shared" si="11"/>
        <v>#N/A</v>
      </c>
      <c r="AQ80" t="e" cm="1">
        <f t="array" ref="AQ80">_xlfn.IFS(VLOOKUP(AA80,$A$2:$B$1048576,2,FALSE)="TE",AA80,VLOOKUP(AB80,$A$2:$B$1048576,2,FALSE)="TE",AB80,VLOOKUP(AC80,$A$2:$B$1048576,2,FALSE)="TE",AC80,VLOOKUP(AD80,$A$2:$B$1048576,2,FALSE)="TE",AD80,VLOOKUP(AE80,$A$2:$B$1048576,2,FALSE)="TE",AE80,VLOOKUP(AF80,$A$2:$B$1048576,2,FALSE)="TE",AF80,VLOOKUP(AG80,$A$2:$B$1048576,2,FALSE)="TE",AG80,VLOOKUP(AH80,$A$2:$B$1048576,2,FALSE)="TE",AH80,VLOOKUP(AI80,$A$2:$B$1048576,2,FALSE)="TE",AI80)</f>
        <v>#N/A</v>
      </c>
      <c r="AR80" t="e" cm="1">
        <f t="array" ref="AR80">_xlfn.IFS(IF(OR(AA80=AK80,AA80=AL80,AA80=AM80,AA80=AN80,AA80=AO80,AA80=AP80,AA80=AQ80,AA80=AS80),1,0)=0,AA80,IF(OR(AB80=AK80,AB80=AL80,AB80=AM80,AB80=AN80,AB80=AO80,AB80=AP80,AB80=AQ80,AB80=AS80),1,0)=0,AB80,IF(OR(AC80=AK80,AC80=AL80,AC80=AM80,AC80=AN80,AC80=AO80,AC80=AP80,AC80=AQ80,AC80=AS80),1,0)=0,AC80,IF(OR(AD80=AK80,AD80=AL80,AD80=AM80,AD80=AN80,AD80=AO80,AD80=AP80,AD80=AQ80,AD80=AS80),1,0)=0,AD80,IF(OR(AE80=AK80,AE80=AL80,AE80=AM80,AE80=AN80,AE80=AO80,AE80=AP80,AE80=AQ80,AE80=AS80),1,0)=0,AE80,IF(OR(AF80=AK80,AF80=AL80,AF80=AM80,AF80=AN80,AF80=AO80,AF80=AP80,AF80=AQ80,AF80=AS80),1,0)=0,AF80,IF(OR(AG80=AK80,AG80=AL80,AG80=AM80,AG80=AN80,AG80=AO80,AG80=AP80,AG80=AQ80,AG80=AS80),1,0)=0,AG80,IF(OR(AH80=AK80,AH80=AL80,AH80=AM80,AH80=AN80,AH80=AO80,AH80=AP80,AH80=AQ80,AH80=AS80),1,0)=0,AH80,IF(OR(AI80=AK80,AI80=AL80,AI80=AM80,AI80=AN80,AI80=AO80,AI80=AP80,AI80=AQ80,AI80=AS80),1,0)=0,AI80)</f>
        <v>#N/A</v>
      </c>
      <c r="AS80" t="e" cm="1">
        <f t="array" ref="AS80">_xlfn.IFS(VLOOKUP(AA80,$A$2:$B$1048576,2,FALSE)="DST",AA80,VLOOKUP(AB80,$A$2:$B$1048576,2,FALSE)="DST",AB80,VLOOKUP(AC80,$A$2:$B$1048576,2,FALSE)="DST",AC80,VLOOKUP(AD80,$A$2:$B$1048576,2,FALSE)="DST",AD80,VLOOKUP(AE80,$A$2:$B$1048576,2,FALSE)="DST",AE80,VLOOKUP(AF80,$A$2:$B$1048576,2,FALSE)="DST",AF80,VLOOKUP(AG80,$A$2:$B$1048576,2,FALSE)="DST",AG80,VLOOKUP(AH80,$A$2:$B$1048576,2,FALSE)="DST",AH80,VLOOKUP(AI80,$A$2:$B$1048576,2,FALSE)="DST",AI80)</f>
        <v>#N/A</v>
      </c>
    </row>
    <row r="81" spans="1:45" x14ac:dyDescent="0.35">
      <c r="A81" t="s">
        <v>104</v>
      </c>
      <c r="B81" s="11" t="s">
        <v>10</v>
      </c>
      <c r="C81" s="11">
        <v>5500</v>
      </c>
      <c r="D81" s="12">
        <v>14.689649999999999</v>
      </c>
      <c r="E81" s="12">
        <v>14.769124466478843</v>
      </c>
      <c r="F81" s="12">
        <v>32.016299598376889</v>
      </c>
      <c r="H81" s="11">
        <v>0</v>
      </c>
      <c r="I81">
        <f>IF(B81="QB",H81*1,0)</f>
        <v>0</v>
      </c>
      <c r="J81">
        <f>IF(B81="RB",H81*1,0)</f>
        <v>0</v>
      </c>
      <c r="K81">
        <f>IF(B81="WR",H81*1,0)</f>
        <v>0</v>
      </c>
      <c r="L81">
        <f>IF(B81="TE",H81*1,0)</f>
        <v>0</v>
      </c>
      <c r="M81">
        <f>IF(B81="DST",H81*1,0)</f>
        <v>0</v>
      </c>
      <c r="X81" s="11">
        <f t="shared" si="7"/>
        <v>1</v>
      </c>
      <c r="Y81" s="9">
        <v>80</v>
      </c>
      <c r="Z81" s="12">
        <f t="shared" si="8"/>
        <v>0</v>
      </c>
      <c r="AK81" t="e" cm="1">
        <f t="array" ref="AK81">_xlfn.IFS(VLOOKUP(AA81,$A$2:$B$1048576,2,FALSE)="QB",AA81,VLOOKUP(AB81,$A$2:$B$1048576,2,FALSE)="QB",AB81,VLOOKUP(AC81,$A$2:$B$1048576,2,FALSE)="QB",AC81,VLOOKUP(AD81,$A$2:$B$1048576,2,FALSE)="QB",AD81,VLOOKUP(AE81,$A$2:$B$1048576,2,FALSE)="QB",AE81,VLOOKUP(AF81,$A$2:$B$1048576,2,FALSE)="QB",AF81,VLOOKUP(AG81,$A$2:$B$1048576,2,FALSE)="QB",AG81,VLOOKUP(AH81,$A$2:$B$1048576,2,FALSE)="QB",AH81,VLOOKUP(AI81,$A$2:$B$1048576,2,FALSE)="QB",AI81)</f>
        <v>#N/A</v>
      </c>
      <c r="AL81" t="e" cm="1">
        <f t="array" ref="AL81">_xlfn.IFS(VLOOKUP(AA81,$A$2:$B$1048576,2,FALSE)="RB",AA81,VLOOKUP(AB81,$A$2:$B$1048576,2,FALSE)="RB",AB81,VLOOKUP(AC81,$A$2:$B$1048576,2,FALSE)="RB",AC81,VLOOKUP(AD81,$A$2:$B$1048576,2,FALSE)="RB",AD81,VLOOKUP(AE81,$A$2:$B$1048576,2,FALSE)="RB",AE81,VLOOKUP(AF81,$A$2:$B$1048576,2,FALSE)="RB",AF81,VLOOKUP(AG81,$A$2:$B$1048576,2,FALSE)="RB",AG81,VLOOKUP(AH81,$A$2:$B$1048576,2,FALSE)="RB",AH81,VLOOKUP(AI81,$A$2:$B$1048576,2,FALSE)="RB",AI81)</f>
        <v>#N/A</v>
      </c>
      <c r="AM81" t="e">
        <f t="shared" si="9"/>
        <v>#N/A</v>
      </c>
      <c r="AN81" t="e" cm="1">
        <f t="array" ref="AN81">_xlfn.IFS(VLOOKUP(AA81,$A$2:$B$1048576,2,FALSE)="WR",AA81,VLOOKUP(AB81,$A$2:$B$1048576,2,FALSE)="WR",AB81,VLOOKUP(AC81,$A$2:$B$1048576,2,FALSE)="WR",AC81,VLOOKUP(AD81,$A$2:$B$1048576,2,FALSE)="WR",AD81,VLOOKUP(AE81,$A$2:$B$1048576,2,FALSE)="WR",AE81,VLOOKUP(AF81,$A$2:$B$1048576,2,FALSE)="WR",AF81,VLOOKUP(AG81,$A$2:$B$1048576,2,FALSE)="WR",AG81,VLOOKUP(AH81,$A$2:$B$1048576,2,FALSE)="WR",AH81,VLOOKUP(AI81,$A$2:$B$1048576,2,FALSE)="WR",AI81)</f>
        <v>#N/A</v>
      </c>
      <c r="AO81" t="e">
        <f t="shared" si="10"/>
        <v>#N/A</v>
      </c>
      <c r="AP81" t="e">
        <f t="shared" si="11"/>
        <v>#N/A</v>
      </c>
      <c r="AQ81" t="e" cm="1">
        <f t="array" ref="AQ81">_xlfn.IFS(VLOOKUP(AA81,$A$2:$B$1048576,2,FALSE)="TE",AA81,VLOOKUP(AB81,$A$2:$B$1048576,2,FALSE)="TE",AB81,VLOOKUP(AC81,$A$2:$B$1048576,2,FALSE)="TE",AC81,VLOOKUP(AD81,$A$2:$B$1048576,2,FALSE)="TE",AD81,VLOOKUP(AE81,$A$2:$B$1048576,2,FALSE)="TE",AE81,VLOOKUP(AF81,$A$2:$B$1048576,2,FALSE)="TE",AF81,VLOOKUP(AG81,$A$2:$B$1048576,2,FALSE)="TE",AG81,VLOOKUP(AH81,$A$2:$B$1048576,2,FALSE)="TE",AH81,VLOOKUP(AI81,$A$2:$B$1048576,2,FALSE)="TE",AI81)</f>
        <v>#N/A</v>
      </c>
      <c r="AR81" t="e" cm="1">
        <f t="array" ref="AR81">_xlfn.IFS(IF(OR(AA81=AK81,AA81=AL81,AA81=AM81,AA81=AN81,AA81=AO81,AA81=AP81,AA81=AQ81,AA81=AS81),1,0)=0,AA81,IF(OR(AB81=AK81,AB81=AL81,AB81=AM81,AB81=AN81,AB81=AO81,AB81=AP81,AB81=AQ81,AB81=AS81),1,0)=0,AB81,IF(OR(AC81=AK81,AC81=AL81,AC81=AM81,AC81=AN81,AC81=AO81,AC81=AP81,AC81=AQ81,AC81=AS81),1,0)=0,AC81,IF(OR(AD81=AK81,AD81=AL81,AD81=AM81,AD81=AN81,AD81=AO81,AD81=AP81,AD81=AQ81,AD81=AS81),1,0)=0,AD81,IF(OR(AE81=AK81,AE81=AL81,AE81=AM81,AE81=AN81,AE81=AO81,AE81=AP81,AE81=AQ81,AE81=AS81),1,0)=0,AE81,IF(OR(AF81=AK81,AF81=AL81,AF81=AM81,AF81=AN81,AF81=AO81,AF81=AP81,AF81=AQ81,AF81=AS81),1,0)=0,AF81,IF(OR(AG81=AK81,AG81=AL81,AG81=AM81,AG81=AN81,AG81=AO81,AG81=AP81,AG81=AQ81,AG81=AS81),1,0)=0,AG81,IF(OR(AH81=AK81,AH81=AL81,AH81=AM81,AH81=AN81,AH81=AO81,AH81=AP81,AH81=AQ81,AH81=AS81),1,0)=0,AH81,IF(OR(AI81=AK81,AI81=AL81,AI81=AM81,AI81=AN81,AI81=AO81,AI81=AP81,AI81=AQ81,AI81=AS81),1,0)=0,AI81)</f>
        <v>#N/A</v>
      </c>
      <c r="AS81" t="e" cm="1">
        <f t="array" ref="AS81">_xlfn.IFS(VLOOKUP(AA81,$A$2:$B$1048576,2,FALSE)="DST",AA81,VLOOKUP(AB81,$A$2:$B$1048576,2,FALSE)="DST",AB81,VLOOKUP(AC81,$A$2:$B$1048576,2,FALSE)="DST",AC81,VLOOKUP(AD81,$A$2:$B$1048576,2,FALSE)="DST",AD81,VLOOKUP(AE81,$A$2:$B$1048576,2,FALSE)="DST",AE81,VLOOKUP(AF81,$A$2:$B$1048576,2,FALSE)="DST",AF81,VLOOKUP(AG81,$A$2:$B$1048576,2,FALSE)="DST",AG81,VLOOKUP(AH81,$A$2:$B$1048576,2,FALSE)="DST",AH81,VLOOKUP(AI81,$A$2:$B$1048576,2,FALSE)="DST",AI81)</f>
        <v>#N/A</v>
      </c>
    </row>
    <row r="82" spans="1:45" x14ac:dyDescent="0.35">
      <c r="A82" t="s">
        <v>105</v>
      </c>
      <c r="B82" s="11" t="s">
        <v>10</v>
      </c>
      <c r="C82" s="11">
        <v>3300</v>
      </c>
      <c r="D82" s="12">
        <v>7.8766333333333334</v>
      </c>
      <c r="E82" s="12">
        <v>7.8899779767535705</v>
      </c>
      <c r="F82" s="12">
        <v>11.590442300514871</v>
      </c>
      <c r="H82" s="11">
        <v>0</v>
      </c>
      <c r="I82">
        <f>IF(B82="QB",H82*1,0)</f>
        <v>0</v>
      </c>
      <c r="J82">
        <f>IF(B82="RB",H82*1,0)</f>
        <v>0</v>
      </c>
      <c r="K82">
        <f>IF(B82="WR",H82*1,0)</f>
        <v>0</v>
      </c>
      <c r="L82">
        <f>IF(B82="TE",H82*1,0)</f>
        <v>0</v>
      </c>
      <c r="M82">
        <f>IF(B82="DST",H82*1,0)</f>
        <v>0</v>
      </c>
      <c r="X82" s="11">
        <f t="shared" si="7"/>
        <v>1</v>
      </c>
      <c r="Y82" s="9">
        <v>81</v>
      </c>
      <c r="Z82" s="12">
        <f t="shared" si="8"/>
        <v>0</v>
      </c>
      <c r="AK82" t="e" cm="1">
        <f t="array" ref="AK82">_xlfn.IFS(VLOOKUP(AA82,$A$2:$B$1048576,2,FALSE)="QB",AA82,VLOOKUP(AB82,$A$2:$B$1048576,2,FALSE)="QB",AB82,VLOOKUP(AC82,$A$2:$B$1048576,2,FALSE)="QB",AC82,VLOOKUP(AD82,$A$2:$B$1048576,2,FALSE)="QB",AD82,VLOOKUP(AE82,$A$2:$B$1048576,2,FALSE)="QB",AE82,VLOOKUP(AF82,$A$2:$B$1048576,2,FALSE)="QB",AF82,VLOOKUP(AG82,$A$2:$B$1048576,2,FALSE)="QB",AG82,VLOOKUP(AH82,$A$2:$B$1048576,2,FALSE)="QB",AH82,VLOOKUP(AI82,$A$2:$B$1048576,2,FALSE)="QB",AI82)</f>
        <v>#N/A</v>
      </c>
      <c r="AL82" t="e" cm="1">
        <f t="array" ref="AL82">_xlfn.IFS(VLOOKUP(AA82,$A$2:$B$1048576,2,FALSE)="RB",AA82,VLOOKUP(AB82,$A$2:$B$1048576,2,FALSE)="RB",AB82,VLOOKUP(AC82,$A$2:$B$1048576,2,FALSE)="RB",AC82,VLOOKUP(AD82,$A$2:$B$1048576,2,FALSE)="RB",AD82,VLOOKUP(AE82,$A$2:$B$1048576,2,FALSE)="RB",AE82,VLOOKUP(AF82,$A$2:$B$1048576,2,FALSE)="RB",AF82,VLOOKUP(AG82,$A$2:$B$1048576,2,FALSE)="RB",AG82,VLOOKUP(AH82,$A$2:$B$1048576,2,FALSE)="RB",AH82,VLOOKUP(AI82,$A$2:$B$1048576,2,FALSE)="RB",AI82)</f>
        <v>#N/A</v>
      </c>
      <c r="AM82" t="e">
        <f t="shared" si="9"/>
        <v>#N/A</v>
      </c>
      <c r="AN82" t="e" cm="1">
        <f t="array" ref="AN82">_xlfn.IFS(VLOOKUP(AA82,$A$2:$B$1048576,2,FALSE)="WR",AA82,VLOOKUP(AB82,$A$2:$B$1048576,2,FALSE)="WR",AB82,VLOOKUP(AC82,$A$2:$B$1048576,2,FALSE)="WR",AC82,VLOOKUP(AD82,$A$2:$B$1048576,2,FALSE)="WR",AD82,VLOOKUP(AE82,$A$2:$B$1048576,2,FALSE)="WR",AE82,VLOOKUP(AF82,$A$2:$B$1048576,2,FALSE)="WR",AF82,VLOOKUP(AG82,$A$2:$B$1048576,2,FALSE)="WR",AG82,VLOOKUP(AH82,$A$2:$B$1048576,2,FALSE)="WR",AH82,VLOOKUP(AI82,$A$2:$B$1048576,2,FALSE)="WR",AI82)</f>
        <v>#N/A</v>
      </c>
      <c r="AO82" t="e">
        <f t="shared" si="10"/>
        <v>#N/A</v>
      </c>
      <c r="AP82" t="e">
        <f t="shared" si="11"/>
        <v>#N/A</v>
      </c>
      <c r="AQ82" t="e" cm="1">
        <f t="array" ref="AQ82">_xlfn.IFS(VLOOKUP(AA82,$A$2:$B$1048576,2,FALSE)="TE",AA82,VLOOKUP(AB82,$A$2:$B$1048576,2,FALSE)="TE",AB82,VLOOKUP(AC82,$A$2:$B$1048576,2,FALSE)="TE",AC82,VLOOKUP(AD82,$A$2:$B$1048576,2,FALSE)="TE",AD82,VLOOKUP(AE82,$A$2:$B$1048576,2,FALSE)="TE",AE82,VLOOKUP(AF82,$A$2:$B$1048576,2,FALSE)="TE",AF82,VLOOKUP(AG82,$A$2:$B$1048576,2,FALSE)="TE",AG82,VLOOKUP(AH82,$A$2:$B$1048576,2,FALSE)="TE",AH82,VLOOKUP(AI82,$A$2:$B$1048576,2,FALSE)="TE",AI82)</f>
        <v>#N/A</v>
      </c>
      <c r="AR82" t="e" cm="1">
        <f t="array" ref="AR82">_xlfn.IFS(IF(OR(AA82=AK82,AA82=AL82,AA82=AM82,AA82=AN82,AA82=AO82,AA82=AP82,AA82=AQ82,AA82=AS82),1,0)=0,AA82,IF(OR(AB82=AK82,AB82=AL82,AB82=AM82,AB82=AN82,AB82=AO82,AB82=AP82,AB82=AQ82,AB82=AS82),1,0)=0,AB82,IF(OR(AC82=AK82,AC82=AL82,AC82=AM82,AC82=AN82,AC82=AO82,AC82=AP82,AC82=AQ82,AC82=AS82),1,0)=0,AC82,IF(OR(AD82=AK82,AD82=AL82,AD82=AM82,AD82=AN82,AD82=AO82,AD82=AP82,AD82=AQ82,AD82=AS82),1,0)=0,AD82,IF(OR(AE82=AK82,AE82=AL82,AE82=AM82,AE82=AN82,AE82=AO82,AE82=AP82,AE82=AQ82,AE82=AS82),1,0)=0,AE82,IF(OR(AF82=AK82,AF82=AL82,AF82=AM82,AF82=AN82,AF82=AO82,AF82=AP82,AF82=AQ82,AF82=AS82),1,0)=0,AF82,IF(OR(AG82=AK82,AG82=AL82,AG82=AM82,AG82=AN82,AG82=AO82,AG82=AP82,AG82=AQ82,AG82=AS82),1,0)=0,AG82,IF(OR(AH82=AK82,AH82=AL82,AH82=AM82,AH82=AN82,AH82=AO82,AH82=AP82,AH82=AQ82,AH82=AS82),1,0)=0,AH82,IF(OR(AI82=AK82,AI82=AL82,AI82=AM82,AI82=AN82,AI82=AO82,AI82=AP82,AI82=AQ82,AI82=AS82),1,0)=0,AI82)</f>
        <v>#N/A</v>
      </c>
      <c r="AS82" t="e" cm="1">
        <f t="array" ref="AS82">_xlfn.IFS(VLOOKUP(AA82,$A$2:$B$1048576,2,FALSE)="DST",AA82,VLOOKUP(AB82,$A$2:$B$1048576,2,FALSE)="DST",AB82,VLOOKUP(AC82,$A$2:$B$1048576,2,FALSE)="DST",AC82,VLOOKUP(AD82,$A$2:$B$1048576,2,FALSE)="DST",AD82,VLOOKUP(AE82,$A$2:$B$1048576,2,FALSE)="DST",AE82,VLOOKUP(AF82,$A$2:$B$1048576,2,FALSE)="DST",AF82,VLOOKUP(AG82,$A$2:$B$1048576,2,FALSE)="DST",AG82,VLOOKUP(AH82,$A$2:$B$1048576,2,FALSE)="DST",AH82,VLOOKUP(AI82,$A$2:$B$1048576,2,FALSE)="DST",AI82)</f>
        <v>#N/A</v>
      </c>
    </row>
    <row r="83" spans="1:45" x14ac:dyDescent="0.35">
      <c r="A83" t="s">
        <v>106</v>
      </c>
      <c r="B83" s="11" t="s">
        <v>10</v>
      </c>
      <c r="C83" s="11">
        <v>3300</v>
      </c>
      <c r="D83" s="12">
        <v>6.1031499999999994</v>
      </c>
      <c r="E83" s="12">
        <v>6.1722504709603179</v>
      </c>
      <c r="F83" s="12">
        <v>6.2770269311332054</v>
      </c>
      <c r="H83" s="11">
        <v>0</v>
      </c>
      <c r="I83">
        <f>IF(B83="QB",H83*1,0)</f>
        <v>0</v>
      </c>
      <c r="J83">
        <f>IF(B83="RB",H83*1,0)</f>
        <v>0</v>
      </c>
      <c r="K83">
        <f>IF(B83="WR",H83*1,0)</f>
        <v>0</v>
      </c>
      <c r="L83">
        <f>IF(B83="TE",H83*1,0)</f>
        <v>0</v>
      </c>
      <c r="M83">
        <f>IF(B83="DST",H83*1,0)</f>
        <v>0</v>
      </c>
      <c r="X83" s="11">
        <f t="shared" si="7"/>
        <v>1</v>
      </c>
      <c r="Y83" s="9">
        <v>82</v>
      </c>
      <c r="Z83" s="12">
        <f t="shared" si="8"/>
        <v>0</v>
      </c>
      <c r="AK83" t="e" cm="1">
        <f t="array" ref="AK83">_xlfn.IFS(VLOOKUP(AA83,$A$2:$B$1048576,2,FALSE)="QB",AA83,VLOOKUP(AB83,$A$2:$B$1048576,2,FALSE)="QB",AB83,VLOOKUP(AC83,$A$2:$B$1048576,2,FALSE)="QB",AC83,VLOOKUP(AD83,$A$2:$B$1048576,2,FALSE)="QB",AD83,VLOOKUP(AE83,$A$2:$B$1048576,2,FALSE)="QB",AE83,VLOOKUP(AF83,$A$2:$B$1048576,2,FALSE)="QB",AF83,VLOOKUP(AG83,$A$2:$B$1048576,2,FALSE)="QB",AG83,VLOOKUP(AH83,$A$2:$B$1048576,2,FALSE)="QB",AH83,VLOOKUP(AI83,$A$2:$B$1048576,2,FALSE)="QB",AI83)</f>
        <v>#N/A</v>
      </c>
      <c r="AL83" t="e" cm="1">
        <f t="array" ref="AL83">_xlfn.IFS(VLOOKUP(AA83,$A$2:$B$1048576,2,FALSE)="RB",AA83,VLOOKUP(AB83,$A$2:$B$1048576,2,FALSE)="RB",AB83,VLOOKUP(AC83,$A$2:$B$1048576,2,FALSE)="RB",AC83,VLOOKUP(AD83,$A$2:$B$1048576,2,FALSE)="RB",AD83,VLOOKUP(AE83,$A$2:$B$1048576,2,FALSE)="RB",AE83,VLOOKUP(AF83,$A$2:$B$1048576,2,FALSE)="RB",AF83,VLOOKUP(AG83,$A$2:$B$1048576,2,FALSE)="RB",AG83,VLOOKUP(AH83,$A$2:$B$1048576,2,FALSE)="RB",AH83,VLOOKUP(AI83,$A$2:$B$1048576,2,FALSE)="RB",AI83)</f>
        <v>#N/A</v>
      </c>
      <c r="AM83" t="e">
        <f t="shared" si="9"/>
        <v>#N/A</v>
      </c>
      <c r="AN83" t="e" cm="1">
        <f t="array" ref="AN83">_xlfn.IFS(VLOOKUP(AA83,$A$2:$B$1048576,2,FALSE)="WR",AA83,VLOOKUP(AB83,$A$2:$B$1048576,2,FALSE)="WR",AB83,VLOOKUP(AC83,$A$2:$B$1048576,2,FALSE)="WR",AC83,VLOOKUP(AD83,$A$2:$B$1048576,2,FALSE)="WR",AD83,VLOOKUP(AE83,$A$2:$B$1048576,2,FALSE)="WR",AE83,VLOOKUP(AF83,$A$2:$B$1048576,2,FALSE)="WR",AF83,VLOOKUP(AG83,$A$2:$B$1048576,2,FALSE)="WR",AG83,VLOOKUP(AH83,$A$2:$B$1048576,2,FALSE)="WR",AH83,VLOOKUP(AI83,$A$2:$B$1048576,2,FALSE)="WR",AI83)</f>
        <v>#N/A</v>
      </c>
      <c r="AO83" t="e">
        <f t="shared" si="10"/>
        <v>#N/A</v>
      </c>
      <c r="AP83" t="e">
        <f t="shared" si="11"/>
        <v>#N/A</v>
      </c>
      <c r="AQ83" t="e" cm="1">
        <f t="array" ref="AQ83">_xlfn.IFS(VLOOKUP(AA83,$A$2:$B$1048576,2,FALSE)="TE",AA83,VLOOKUP(AB83,$A$2:$B$1048576,2,FALSE)="TE",AB83,VLOOKUP(AC83,$A$2:$B$1048576,2,FALSE)="TE",AC83,VLOOKUP(AD83,$A$2:$B$1048576,2,FALSE)="TE",AD83,VLOOKUP(AE83,$A$2:$B$1048576,2,FALSE)="TE",AE83,VLOOKUP(AF83,$A$2:$B$1048576,2,FALSE)="TE",AF83,VLOOKUP(AG83,$A$2:$B$1048576,2,FALSE)="TE",AG83,VLOOKUP(AH83,$A$2:$B$1048576,2,FALSE)="TE",AH83,VLOOKUP(AI83,$A$2:$B$1048576,2,FALSE)="TE",AI83)</f>
        <v>#N/A</v>
      </c>
      <c r="AR83" t="e" cm="1">
        <f t="array" ref="AR83">_xlfn.IFS(IF(OR(AA83=AK83,AA83=AL83,AA83=AM83,AA83=AN83,AA83=AO83,AA83=AP83,AA83=AQ83,AA83=AS83),1,0)=0,AA83,IF(OR(AB83=AK83,AB83=AL83,AB83=AM83,AB83=AN83,AB83=AO83,AB83=AP83,AB83=AQ83,AB83=AS83),1,0)=0,AB83,IF(OR(AC83=AK83,AC83=AL83,AC83=AM83,AC83=AN83,AC83=AO83,AC83=AP83,AC83=AQ83,AC83=AS83),1,0)=0,AC83,IF(OR(AD83=AK83,AD83=AL83,AD83=AM83,AD83=AN83,AD83=AO83,AD83=AP83,AD83=AQ83,AD83=AS83),1,0)=0,AD83,IF(OR(AE83=AK83,AE83=AL83,AE83=AM83,AE83=AN83,AE83=AO83,AE83=AP83,AE83=AQ83,AE83=AS83),1,0)=0,AE83,IF(OR(AF83=AK83,AF83=AL83,AF83=AM83,AF83=AN83,AF83=AO83,AF83=AP83,AF83=AQ83,AF83=AS83),1,0)=0,AF83,IF(OR(AG83=AK83,AG83=AL83,AG83=AM83,AG83=AN83,AG83=AO83,AG83=AP83,AG83=AQ83,AG83=AS83),1,0)=0,AG83,IF(OR(AH83=AK83,AH83=AL83,AH83=AM83,AH83=AN83,AH83=AO83,AH83=AP83,AH83=AQ83,AH83=AS83),1,0)=0,AH83,IF(OR(AI83=AK83,AI83=AL83,AI83=AM83,AI83=AN83,AI83=AO83,AI83=AP83,AI83=AQ83,AI83=AS83),1,0)=0,AI83)</f>
        <v>#N/A</v>
      </c>
      <c r="AS83" t="e" cm="1">
        <f t="array" ref="AS83">_xlfn.IFS(VLOOKUP(AA83,$A$2:$B$1048576,2,FALSE)="DST",AA83,VLOOKUP(AB83,$A$2:$B$1048576,2,FALSE)="DST",AB83,VLOOKUP(AC83,$A$2:$B$1048576,2,FALSE)="DST",AC83,VLOOKUP(AD83,$A$2:$B$1048576,2,FALSE)="DST",AD83,VLOOKUP(AE83,$A$2:$B$1048576,2,FALSE)="DST",AE83,VLOOKUP(AF83,$A$2:$B$1048576,2,FALSE)="DST",AF83,VLOOKUP(AG83,$A$2:$B$1048576,2,FALSE)="DST",AG83,VLOOKUP(AH83,$A$2:$B$1048576,2,FALSE)="DST",AH83,VLOOKUP(AI83,$A$2:$B$1048576,2,FALSE)="DST",AI83)</f>
        <v>#N/A</v>
      </c>
    </row>
    <row r="84" spans="1:45" x14ac:dyDescent="0.35">
      <c r="A84" t="s">
        <v>107</v>
      </c>
      <c r="B84" s="11" t="s">
        <v>10</v>
      </c>
      <c r="C84" s="11">
        <v>4300</v>
      </c>
      <c r="D84" s="12">
        <v>11.027733333333332</v>
      </c>
      <c r="E84" s="12">
        <v>11.028747006338058</v>
      </c>
      <c r="F84" s="12">
        <v>21.031766457329883</v>
      </c>
      <c r="H84" s="11">
        <v>0</v>
      </c>
      <c r="I84">
        <f>IF(B84="QB",H84*1,0)</f>
        <v>0</v>
      </c>
      <c r="J84">
        <f>IF(B84="RB",H84*1,0)</f>
        <v>0</v>
      </c>
      <c r="K84">
        <f>IF(B84="WR",H84*1,0)</f>
        <v>0</v>
      </c>
      <c r="L84">
        <f>IF(B84="TE",H84*1,0)</f>
        <v>0</v>
      </c>
      <c r="M84">
        <f>IF(B84="DST",H84*1,0)</f>
        <v>0</v>
      </c>
      <c r="X84" s="11">
        <f t="shared" si="7"/>
        <v>1</v>
      </c>
      <c r="Y84" s="9">
        <v>83</v>
      </c>
      <c r="Z84" s="12">
        <f t="shared" si="8"/>
        <v>0</v>
      </c>
      <c r="AK84" t="e" cm="1">
        <f t="array" ref="AK84">_xlfn.IFS(VLOOKUP(AA84,$A$2:$B$1048576,2,FALSE)="QB",AA84,VLOOKUP(AB84,$A$2:$B$1048576,2,FALSE)="QB",AB84,VLOOKUP(AC84,$A$2:$B$1048576,2,FALSE)="QB",AC84,VLOOKUP(AD84,$A$2:$B$1048576,2,FALSE)="QB",AD84,VLOOKUP(AE84,$A$2:$B$1048576,2,FALSE)="QB",AE84,VLOOKUP(AF84,$A$2:$B$1048576,2,FALSE)="QB",AF84,VLOOKUP(AG84,$A$2:$B$1048576,2,FALSE)="QB",AG84,VLOOKUP(AH84,$A$2:$B$1048576,2,FALSE)="QB",AH84,VLOOKUP(AI84,$A$2:$B$1048576,2,FALSE)="QB",AI84)</f>
        <v>#N/A</v>
      </c>
      <c r="AL84" t="e" cm="1">
        <f t="array" ref="AL84">_xlfn.IFS(VLOOKUP(AA84,$A$2:$B$1048576,2,FALSE)="RB",AA84,VLOOKUP(AB84,$A$2:$B$1048576,2,FALSE)="RB",AB84,VLOOKUP(AC84,$A$2:$B$1048576,2,FALSE)="RB",AC84,VLOOKUP(AD84,$A$2:$B$1048576,2,FALSE)="RB",AD84,VLOOKUP(AE84,$A$2:$B$1048576,2,FALSE)="RB",AE84,VLOOKUP(AF84,$A$2:$B$1048576,2,FALSE)="RB",AF84,VLOOKUP(AG84,$A$2:$B$1048576,2,FALSE)="RB",AG84,VLOOKUP(AH84,$A$2:$B$1048576,2,FALSE)="RB",AH84,VLOOKUP(AI84,$A$2:$B$1048576,2,FALSE)="RB",AI84)</f>
        <v>#N/A</v>
      </c>
      <c r="AM84" t="e">
        <f t="shared" si="9"/>
        <v>#N/A</v>
      </c>
      <c r="AN84" t="e" cm="1">
        <f t="array" ref="AN84">_xlfn.IFS(VLOOKUP(AA84,$A$2:$B$1048576,2,FALSE)="WR",AA84,VLOOKUP(AB84,$A$2:$B$1048576,2,FALSE)="WR",AB84,VLOOKUP(AC84,$A$2:$B$1048576,2,FALSE)="WR",AC84,VLOOKUP(AD84,$A$2:$B$1048576,2,FALSE)="WR",AD84,VLOOKUP(AE84,$A$2:$B$1048576,2,FALSE)="WR",AE84,VLOOKUP(AF84,$A$2:$B$1048576,2,FALSE)="WR",AF84,VLOOKUP(AG84,$A$2:$B$1048576,2,FALSE)="WR",AG84,VLOOKUP(AH84,$A$2:$B$1048576,2,FALSE)="WR",AH84,VLOOKUP(AI84,$A$2:$B$1048576,2,FALSE)="WR",AI84)</f>
        <v>#N/A</v>
      </c>
      <c r="AO84" t="e">
        <f t="shared" si="10"/>
        <v>#N/A</v>
      </c>
      <c r="AP84" t="e">
        <f t="shared" si="11"/>
        <v>#N/A</v>
      </c>
      <c r="AQ84" t="e" cm="1">
        <f t="array" ref="AQ84">_xlfn.IFS(VLOOKUP(AA84,$A$2:$B$1048576,2,FALSE)="TE",AA84,VLOOKUP(AB84,$A$2:$B$1048576,2,FALSE)="TE",AB84,VLOOKUP(AC84,$A$2:$B$1048576,2,FALSE)="TE",AC84,VLOOKUP(AD84,$A$2:$B$1048576,2,FALSE)="TE",AD84,VLOOKUP(AE84,$A$2:$B$1048576,2,FALSE)="TE",AE84,VLOOKUP(AF84,$A$2:$B$1048576,2,FALSE)="TE",AF84,VLOOKUP(AG84,$A$2:$B$1048576,2,FALSE)="TE",AG84,VLOOKUP(AH84,$A$2:$B$1048576,2,FALSE)="TE",AH84,VLOOKUP(AI84,$A$2:$B$1048576,2,FALSE)="TE",AI84)</f>
        <v>#N/A</v>
      </c>
      <c r="AR84" t="e" cm="1">
        <f t="array" ref="AR84">_xlfn.IFS(IF(OR(AA84=AK84,AA84=AL84,AA84=AM84,AA84=AN84,AA84=AO84,AA84=AP84,AA84=AQ84,AA84=AS84),1,0)=0,AA84,IF(OR(AB84=AK84,AB84=AL84,AB84=AM84,AB84=AN84,AB84=AO84,AB84=AP84,AB84=AQ84,AB84=AS84),1,0)=0,AB84,IF(OR(AC84=AK84,AC84=AL84,AC84=AM84,AC84=AN84,AC84=AO84,AC84=AP84,AC84=AQ84,AC84=AS84),1,0)=0,AC84,IF(OR(AD84=AK84,AD84=AL84,AD84=AM84,AD84=AN84,AD84=AO84,AD84=AP84,AD84=AQ84,AD84=AS84),1,0)=0,AD84,IF(OR(AE84=AK84,AE84=AL84,AE84=AM84,AE84=AN84,AE84=AO84,AE84=AP84,AE84=AQ84,AE84=AS84),1,0)=0,AE84,IF(OR(AF84=AK84,AF84=AL84,AF84=AM84,AF84=AN84,AF84=AO84,AF84=AP84,AF84=AQ84,AF84=AS84),1,0)=0,AF84,IF(OR(AG84=AK84,AG84=AL84,AG84=AM84,AG84=AN84,AG84=AO84,AG84=AP84,AG84=AQ84,AG84=AS84),1,0)=0,AG84,IF(OR(AH84=AK84,AH84=AL84,AH84=AM84,AH84=AN84,AH84=AO84,AH84=AP84,AH84=AQ84,AH84=AS84),1,0)=0,AH84,IF(OR(AI84=AK84,AI84=AL84,AI84=AM84,AI84=AN84,AI84=AO84,AI84=AP84,AI84=AQ84,AI84=AS84),1,0)=0,AI84)</f>
        <v>#N/A</v>
      </c>
      <c r="AS84" t="e" cm="1">
        <f t="array" ref="AS84">_xlfn.IFS(VLOOKUP(AA84,$A$2:$B$1048576,2,FALSE)="DST",AA84,VLOOKUP(AB84,$A$2:$B$1048576,2,FALSE)="DST",AB84,VLOOKUP(AC84,$A$2:$B$1048576,2,FALSE)="DST",AC84,VLOOKUP(AD84,$A$2:$B$1048576,2,FALSE)="DST",AD84,VLOOKUP(AE84,$A$2:$B$1048576,2,FALSE)="DST",AE84,VLOOKUP(AF84,$A$2:$B$1048576,2,FALSE)="DST",AF84,VLOOKUP(AG84,$A$2:$B$1048576,2,FALSE)="DST",AG84,VLOOKUP(AH84,$A$2:$B$1048576,2,FALSE)="DST",AH84,VLOOKUP(AI84,$A$2:$B$1048576,2,FALSE)="DST",AI84)</f>
        <v>#N/A</v>
      </c>
    </row>
    <row r="85" spans="1:45" x14ac:dyDescent="0.35">
      <c r="A85" t="s">
        <v>108</v>
      </c>
      <c r="B85" s="11" t="s">
        <v>10</v>
      </c>
      <c r="C85" s="11">
        <v>3900</v>
      </c>
      <c r="D85" s="12">
        <v>6</v>
      </c>
      <c r="E85" s="12">
        <v>6.0017117454599536</v>
      </c>
      <c r="F85" s="12">
        <v>5.9615384615384617</v>
      </c>
      <c r="H85" s="11">
        <v>0</v>
      </c>
      <c r="I85">
        <f>IF(B85="QB",H85*1,0)</f>
        <v>0</v>
      </c>
      <c r="J85">
        <f>IF(B85="RB",H85*1,0)</f>
        <v>0</v>
      </c>
      <c r="K85">
        <f>IF(B85="WR",H85*1,0)</f>
        <v>0</v>
      </c>
      <c r="L85">
        <f>IF(B85="TE",H85*1,0)</f>
        <v>0</v>
      </c>
      <c r="M85">
        <f>IF(B85="DST",H85*1,0)</f>
        <v>0</v>
      </c>
      <c r="X85" s="11">
        <f t="shared" si="7"/>
        <v>1</v>
      </c>
      <c r="Y85" s="9">
        <v>84</v>
      </c>
      <c r="Z85" s="12">
        <f t="shared" si="8"/>
        <v>0</v>
      </c>
      <c r="AK85" t="e" cm="1">
        <f t="array" ref="AK85">_xlfn.IFS(VLOOKUP(AA85,$A$2:$B$1048576,2,FALSE)="QB",AA85,VLOOKUP(AB85,$A$2:$B$1048576,2,FALSE)="QB",AB85,VLOOKUP(AC85,$A$2:$B$1048576,2,FALSE)="QB",AC85,VLOOKUP(AD85,$A$2:$B$1048576,2,FALSE)="QB",AD85,VLOOKUP(AE85,$A$2:$B$1048576,2,FALSE)="QB",AE85,VLOOKUP(AF85,$A$2:$B$1048576,2,FALSE)="QB",AF85,VLOOKUP(AG85,$A$2:$B$1048576,2,FALSE)="QB",AG85,VLOOKUP(AH85,$A$2:$B$1048576,2,FALSE)="QB",AH85,VLOOKUP(AI85,$A$2:$B$1048576,2,FALSE)="QB",AI85)</f>
        <v>#N/A</v>
      </c>
      <c r="AL85" t="e" cm="1">
        <f t="array" ref="AL85">_xlfn.IFS(VLOOKUP(AA85,$A$2:$B$1048576,2,FALSE)="RB",AA85,VLOOKUP(AB85,$A$2:$B$1048576,2,FALSE)="RB",AB85,VLOOKUP(AC85,$A$2:$B$1048576,2,FALSE)="RB",AC85,VLOOKUP(AD85,$A$2:$B$1048576,2,FALSE)="RB",AD85,VLOOKUP(AE85,$A$2:$B$1048576,2,FALSE)="RB",AE85,VLOOKUP(AF85,$A$2:$B$1048576,2,FALSE)="RB",AF85,VLOOKUP(AG85,$A$2:$B$1048576,2,FALSE)="RB",AG85,VLOOKUP(AH85,$A$2:$B$1048576,2,FALSE)="RB",AH85,VLOOKUP(AI85,$A$2:$B$1048576,2,FALSE)="RB",AI85)</f>
        <v>#N/A</v>
      </c>
      <c r="AM85" t="e">
        <f t="shared" si="9"/>
        <v>#N/A</v>
      </c>
      <c r="AN85" t="e" cm="1">
        <f t="array" ref="AN85">_xlfn.IFS(VLOOKUP(AA85,$A$2:$B$1048576,2,FALSE)="WR",AA85,VLOOKUP(AB85,$A$2:$B$1048576,2,FALSE)="WR",AB85,VLOOKUP(AC85,$A$2:$B$1048576,2,FALSE)="WR",AC85,VLOOKUP(AD85,$A$2:$B$1048576,2,FALSE)="WR",AD85,VLOOKUP(AE85,$A$2:$B$1048576,2,FALSE)="WR",AE85,VLOOKUP(AF85,$A$2:$B$1048576,2,FALSE)="WR",AF85,VLOOKUP(AG85,$A$2:$B$1048576,2,FALSE)="WR",AG85,VLOOKUP(AH85,$A$2:$B$1048576,2,FALSE)="WR",AH85,VLOOKUP(AI85,$A$2:$B$1048576,2,FALSE)="WR",AI85)</f>
        <v>#N/A</v>
      </c>
      <c r="AO85" t="e">
        <f t="shared" si="10"/>
        <v>#N/A</v>
      </c>
      <c r="AP85" t="e">
        <f t="shared" si="11"/>
        <v>#N/A</v>
      </c>
      <c r="AQ85" t="e" cm="1">
        <f t="array" ref="AQ85">_xlfn.IFS(VLOOKUP(AA85,$A$2:$B$1048576,2,FALSE)="TE",AA85,VLOOKUP(AB85,$A$2:$B$1048576,2,FALSE)="TE",AB85,VLOOKUP(AC85,$A$2:$B$1048576,2,FALSE)="TE",AC85,VLOOKUP(AD85,$A$2:$B$1048576,2,FALSE)="TE",AD85,VLOOKUP(AE85,$A$2:$B$1048576,2,FALSE)="TE",AE85,VLOOKUP(AF85,$A$2:$B$1048576,2,FALSE)="TE",AF85,VLOOKUP(AG85,$A$2:$B$1048576,2,FALSE)="TE",AG85,VLOOKUP(AH85,$A$2:$B$1048576,2,FALSE)="TE",AH85,VLOOKUP(AI85,$A$2:$B$1048576,2,FALSE)="TE",AI85)</f>
        <v>#N/A</v>
      </c>
      <c r="AR85" t="e" cm="1">
        <f t="array" ref="AR85">_xlfn.IFS(IF(OR(AA85=AK85,AA85=AL85,AA85=AM85,AA85=AN85,AA85=AO85,AA85=AP85,AA85=AQ85,AA85=AS85),1,0)=0,AA85,IF(OR(AB85=AK85,AB85=AL85,AB85=AM85,AB85=AN85,AB85=AO85,AB85=AP85,AB85=AQ85,AB85=AS85),1,0)=0,AB85,IF(OR(AC85=AK85,AC85=AL85,AC85=AM85,AC85=AN85,AC85=AO85,AC85=AP85,AC85=AQ85,AC85=AS85),1,0)=0,AC85,IF(OR(AD85=AK85,AD85=AL85,AD85=AM85,AD85=AN85,AD85=AO85,AD85=AP85,AD85=AQ85,AD85=AS85),1,0)=0,AD85,IF(OR(AE85=AK85,AE85=AL85,AE85=AM85,AE85=AN85,AE85=AO85,AE85=AP85,AE85=AQ85,AE85=AS85),1,0)=0,AE85,IF(OR(AF85=AK85,AF85=AL85,AF85=AM85,AF85=AN85,AF85=AO85,AF85=AP85,AF85=AQ85,AF85=AS85),1,0)=0,AF85,IF(OR(AG85=AK85,AG85=AL85,AG85=AM85,AG85=AN85,AG85=AO85,AG85=AP85,AG85=AQ85,AG85=AS85),1,0)=0,AG85,IF(OR(AH85=AK85,AH85=AL85,AH85=AM85,AH85=AN85,AH85=AO85,AH85=AP85,AH85=AQ85,AH85=AS85),1,0)=0,AH85,IF(OR(AI85=AK85,AI85=AL85,AI85=AM85,AI85=AN85,AI85=AO85,AI85=AP85,AI85=AQ85,AI85=AS85),1,0)=0,AI85)</f>
        <v>#N/A</v>
      </c>
      <c r="AS85" t="e" cm="1">
        <f t="array" ref="AS85">_xlfn.IFS(VLOOKUP(AA85,$A$2:$B$1048576,2,FALSE)="DST",AA85,VLOOKUP(AB85,$A$2:$B$1048576,2,FALSE)="DST",AB85,VLOOKUP(AC85,$A$2:$B$1048576,2,FALSE)="DST",AC85,VLOOKUP(AD85,$A$2:$B$1048576,2,FALSE)="DST",AD85,VLOOKUP(AE85,$A$2:$B$1048576,2,FALSE)="DST",AE85,VLOOKUP(AF85,$A$2:$B$1048576,2,FALSE)="DST",AF85,VLOOKUP(AG85,$A$2:$B$1048576,2,FALSE)="DST",AG85,VLOOKUP(AH85,$A$2:$B$1048576,2,FALSE)="DST",AH85,VLOOKUP(AI85,$A$2:$B$1048576,2,FALSE)="DST",AI85)</f>
        <v>#N/A</v>
      </c>
    </row>
    <row r="86" spans="1:45" x14ac:dyDescent="0.35">
      <c r="A86" t="s">
        <v>109</v>
      </c>
      <c r="B86" s="11" t="s">
        <v>10</v>
      </c>
      <c r="C86" s="11">
        <v>4900</v>
      </c>
      <c r="D86" s="12">
        <v>9.132299999999999</v>
      </c>
      <c r="E86" s="12">
        <v>9.1323000004597397</v>
      </c>
      <c r="F86" s="12">
        <v>15.277169067202379</v>
      </c>
      <c r="H86" s="11">
        <v>0</v>
      </c>
      <c r="I86">
        <f>IF(B86="QB",H86*1,0)</f>
        <v>0</v>
      </c>
      <c r="J86">
        <f>IF(B86="RB",H86*1,0)</f>
        <v>0</v>
      </c>
      <c r="K86">
        <f>IF(B86="WR",H86*1,0)</f>
        <v>0</v>
      </c>
      <c r="L86">
        <f>IF(B86="TE",H86*1,0)</f>
        <v>0</v>
      </c>
      <c r="M86">
        <f>IF(B86="DST",H86*1,0)</f>
        <v>0</v>
      </c>
      <c r="X86" s="11">
        <f t="shared" si="7"/>
        <v>1</v>
      </c>
      <c r="Y86" s="9">
        <v>85</v>
      </c>
      <c r="Z86" s="12">
        <f t="shared" si="8"/>
        <v>0</v>
      </c>
      <c r="AK86" t="e" cm="1">
        <f t="array" ref="AK86">_xlfn.IFS(VLOOKUP(AA86,$A$2:$B$1048576,2,FALSE)="QB",AA86,VLOOKUP(AB86,$A$2:$B$1048576,2,FALSE)="QB",AB86,VLOOKUP(AC86,$A$2:$B$1048576,2,FALSE)="QB",AC86,VLOOKUP(AD86,$A$2:$B$1048576,2,FALSE)="QB",AD86,VLOOKUP(AE86,$A$2:$B$1048576,2,FALSE)="QB",AE86,VLOOKUP(AF86,$A$2:$B$1048576,2,FALSE)="QB",AF86,VLOOKUP(AG86,$A$2:$B$1048576,2,FALSE)="QB",AG86,VLOOKUP(AH86,$A$2:$B$1048576,2,FALSE)="QB",AH86,VLOOKUP(AI86,$A$2:$B$1048576,2,FALSE)="QB",AI86)</f>
        <v>#N/A</v>
      </c>
      <c r="AL86" t="e" cm="1">
        <f t="array" ref="AL86">_xlfn.IFS(VLOOKUP(AA86,$A$2:$B$1048576,2,FALSE)="RB",AA86,VLOOKUP(AB86,$A$2:$B$1048576,2,FALSE)="RB",AB86,VLOOKUP(AC86,$A$2:$B$1048576,2,FALSE)="RB",AC86,VLOOKUP(AD86,$A$2:$B$1048576,2,FALSE)="RB",AD86,VLOOKUP(AE86,$A$2:$B$1048576,2,FALSE)="RB",AE86,VLOOKUP(AF86,$A$2:$B$1048576,2,FALSE)="RB",AF86,VLOOKUP(AG86,$A$2:$B$1048576,2,FALSE)="RB",AG86,VLOOKUP(AH86,$A$2:$B$1048576,2,FALSE)="RB",AH86,VLOOKUP(AI86,$A$2:$B$1048576,2,FALSE)="RB",AI86)</f>
        <v>#N/A</v>
      </c>
      <c r="AM86" t="e">
        <f t="shared" si="9"/>
        <v>#N/A</v>
      </c>
      <c r="AN86" t="e" cm="1">
        <f t="array" ref="AN86">_xlfn.IFS(VLOOKUP(AA86,$A$2:$B$1048576,2,FALSE)="WR",AA86,VLOOKUP(AB86,$A$2:$B$1048576,2,FALSE)="WR",AB86,VLOOKUP(AC86,$A$2:$B$1048576,2,FALSE)="WR",AC86,VLOOKUP(AD86,$A$2:$B$1048576,2,FALSE)="WR",AD86,VLOOKUP(AE86,$A$2:$B$1048576,2,FALSE)="WR",AE86,VLOOKUP(AF86,$A$2:$B$1048576,2,FALSE)="WR",AF86,VLOOKUP(AG86,$A$2:$B$1048576,2,FALSE)="WR",AG86,VLOOKUP(AH86,$A$2:$B$1048576,2,FALSE)="WR",AH86,VLOOKUP(AI86,$A$2:$B$1048576,2,FALSE)="WR",AI86)</f>
        <v>#N/A</v>
      </c>
      <c r="AO86" t="e">
        <f t="shared" si="10"/>
        <v>#N/A</v>
      </c>
      <c r="AP86" t="e">
        <f t="shared" si="11"/>
        <v>#N/A</v>
      </c>
      <c r="AQ86" t="e" cm="1">
        <f t="array" ref="AQ86">_xlfn.IFS(VLOOKUP(AA86,$A$2:$B$1048576,2,FALSE)="TE",AA86,VLOOKUP(AB86,$A$2:$B$1048576,2,FALSE)="TE",AB86,VLOOKUP(AC86,$A$2:$B$1048576,2,FALSE)="TE",AC86,VLOOKUP(AD86,$A$2:$B$1048576,2,FALSE)="TE",AD86,VLOOKUP(AE86,$A$2:$B$1048576,2,FALSE)="TE",AE86,VLOOKUP(AF86,$A$2:$B$1048576,2,FALSE)="TE",AF86,VLOOKUP(AG86,$A$2:$B$1048576,2,FALSE)="TE",AG86,VLOOKUP(AH86,$A$2:$B$1048576,2,FALSE)="TE",AH86,VLOOKUP(AI86,$A$2:$B$1048576,2,FALSE)="TE",AI86)</f>
        <v>#N/A</v>
      </c>
      <c r="AR86" t="e" cm="1">
        <f t="array" ref="AR86">_xlfn.IFS(IF(OR(AA86=AK86,AA86=AL86,AA86=AM86,AA86=AN86,AA86=AO86,AA86=AP86,AA86=AQ86,AA86=AS86),1,0)=0,AA86,IF(OR(AB86=AK86,AB86=AL86,AB86=AM86,AB86=AN86,AB86=AO86,AB86=AP86,AB86=AQ86,AB86=AS86),1,0)=0,AB86,IF(OR(AC86=AK86,AC86=AL86,AC86=AM86,AC86=AN86,AC86=AO86,AC86=AP86,AC86=AQ86,AC86=AS86),1,0)=0,AC86,IF(OR(AD86=AK86,AD86=AL86,AD86=AM86,AD86=AN86,AD86=AO86,AD86=AP86,AD86=AQ86,AD86=AS86),1,0)=0,AD86,IF(OR(AE86=AK86,AE86=AL86,AE86=AM86,AE86=AN86,AE86=AO86,AE86=AP86,AE86=AQ86,AE86=AS86),1,0)=0,AE86,IF(OR(AF86=AK86,AF86=AL86,AF86=AM86,AF86=AN86,AF86=AO86,AF86=AP86,AF86=AQ86,AF86=AS86),1,0)=0,AF86,IF(OR(AG86=AK86,AG86=AL86,AG86=AM86,AG86=AN86,AG86=AO86,AG86=AP86,AG86=AQ86,AG86=AS86),1,0)=0,AG86,IF(OR(AH86=AK86,AH86=AL86,AH86=AM86,AH86=AN86,AH86=AO86,AH86=AP86,AH86=AQ86,AH86=AS86),1,0)=0,AH86,IF(OR(AI86=AK86,AI86=AL86,AI86=AM86,AI86=AN86,AI86=AO86,AI86=AP86,AI86=AQ86,AI86=AS86),1,0)=0,AI86)</f>
        <v>#N/A</v>
      </c>
      <c r="AS86" t="e" cm="1">
        <f t="array" ref="AS86">_xlfn.IFS(VLOOKUP(AA86,$A$2:$B$1048576,2,FALSE)="DST",AA86,VLOOKUP(AB86,$A$2:$B$1048576,2,FALSE)="DST",AB86,VLOOKUP(AC86,$A$2:$B$1048576,2,FALSE)="DST",AC86,VLOOKUP(AD86,$A$2:$B$1048576,2,FALSE)="DST",AD86,VLOOKUP(AE86,$A$2:$B$1048576,2,FALSE)="DST",AE86,VLOOKUP(AF86,$A$2:$B$1048576,2,FALSE)="DST",AF86,VLOOKUP(AG86,$A$2:$B$1048576,2,FALSE)="DST",AG86,VLOOKUP(AH86,$A$2:$B$1048576,2,FALSE)="DST",AH86,VLOOKUP(AI86,$A$2:$B$1048576,2,FALSE)="DST",AI86)</f>
        <v>#N/A</v>
      </c>
    </row>
    <row r="87" spans="1:45" x14ac:dyDescent="0.35">
      <c r="A87" t="s">
        <v>110</v>
      </c>
      <c r="B87" s="11" t="s">
        <v>10</v>
      </c>
      <c r="C87" s="11">
        <v>3000</v>
      </c>
      <c r="D87" s="12">
        <v>5.3621499999999997</v>
      </c>
      <c r="E87" s="12">
        <v>5.3621500029136993</v>
      </c>
      <c r="F87" s="12">
        <v>4.0751504421631939</v>
      </c>
      <c r="H87" s="11">
        <v>0</v>
      </c>
      <c r="I87">
        <f>IF(B87="QB",H87*1,0)</f>
        <v>0</v>
      </c>
      <c r="J87">
        <f>IF(B87="RB",H87*1,0)</f>
        <v>0</v>
      </c>
      <c r="K87">
        <f>IF(B87="WR",H87*1,0)</f>
        <v>0</v>
      </c>
      <c r="L87">
        <f>IF(B87="TE",H87*1,0)</f>
        <v>0</v>
      </c>
      <c r="M87">
        <f>IF(B87="DST",H87*1,0)</f>
        <v>0</v>
      </c>
      <c r="X87" s="11">
        <f t="shared" si="7"/>
        <v>1</v>
      </c>
      <c r="Y87" s="9">
        <v>86</v>
      </c>
      <c r="Z87" s="12">
        <f t="shared" si="8"/>
        <v>0</v>
      </c>
      <c r="AK87" t="e" cm="1">
        <f t="array" ref="AK87">_xlfn.IFS(VLOOKUP(AA87,$A$2:$B$1048576,2,FALSE)="QB",AA87,VLOOKUP(AB87,$A$2:$B$1048576,2,FALSE)="QB",AB87,VLOOKUP(AC87,$A$2:$B$1048576,2,FALSE)="QB",AC87,VLOOKUP(AD87,$A$2:$B$1048576,2,FALSE)="QB",AD87,VLOOKUP(AE87,$A$2:$B$1048576,2,FALSE)="QB",AE87,VLOOKUP(AF87,$A$2:$B$1048576,2,FALSE)="QB",AF87,VLOOKUP(AG87,$A$2:$B$1048576,2,FALSE)="QB",AG87,VLOOKUP(AH87,$A$2:$B$1048576,2,FALSE)="QB",AH87,VLOOKUP(AI87,$A$2:$B$1048576,2,FALSE)="QB",AI87)</f>
        <v>#N/A</v>
      </c>
      <c r="AL87" t="e" cm="1">
        <f t="array" ref="AL87">_xlfn.IFS(VLOOKUP(AA87,$A$2:$B$1048576,2,FALSE)="RB",AA87,VLOOKUP(AB87,$A$2:$B$1048576,2,FALSE)="RB",AB87,VLOOKUP(AC87,$A$2:$B$1048576,2,FALSE)="RB",AC87,VLOOKUP(AD87,$A$2:$B$1048576,2,FALSE)="RB",AD87,VLOOKUP(AE87,$A$2:$B$1048576,2,FALSE)="RB",AE87,VLOOKUP(AF87,$A$2:$B$1048576,2,FALSE)="RB",AF87,VLOOKUP(AG87,$A$2:$B$1048576,2,FALSE)="RB",AG87,VLOOKUP(AH87,$A$2:$B$1048576,2,FALSE)="RB",AH87,VLOOKUP(AI87,$A$2:$B$1048576,2,FALSE)="RB",AI87)</f>
        <v>#N/A</v>
      </c>
      <c r="AM87" t="e">
        <f t="shared" si="9"/>
        <v>#N/A</v>
      </c>
      <c r="AN87" t="e" cm="1">
        <f t="array" ref="AN87">_xlfn.IFS(VLOOKUP(AA87,$A$2:$B$1048576,2,FALSE)="WR",AA87,VLOOKUP(AB87,$A$2:$B$1048576,2,FALSE)="WR",AB87,VLOOKUP(AC87,$A$2:$B$1048576,2,FALSE)="WR",AC87,VLOOKUP(AD87,$A$2:$B$1048576,2,FALSE)="WR",AD87,VLOOKUP(AE87,$A$2:$B$1048576,2,FALSE)="WR",AE87,VLOOKUP(AF87,$A$2:$B$1048576,2,FALSE)="WR",AF87,VLOOKUP(AG87,$A$2:$B$1048576,2,FALSE)="WR",AG87,VLOOKUP(AH87,$A$2:$B$1048576,2,FALSE)="WR",AH87,VLOOKUP(AI87,$A$2:$B$1048576,2,FALSE)="WR",AI87)</f>
        <v>#N/A</v>
      </c>
      <c r="AO87" t="e">
        <f t="shared" si="10"/>
        <v>#N/A</v>
      </c>
      <c r="AP87" t="e">
        <f t="shared" si="11"/>
        <v>#N/A</v>
      </c>
      <c r="AQ87" t="e" cm="1">
        <f t="array" ref="AQ87">_xlfn.IFS(VLOOKUP(AA87,$A$2:$B$1048576,2,FALSE)="TE",AA87,VLOOKUP(AB87,$A$2:$B$1048576,2,FALSE)="TE",AB87,VLOOKUP(AC87,$A$2:$B$1048576,2,FALSE)="TE",AC87,VLOOKUP(AD87,$A$2:$B$1048576,2,FALSE)="TE",AD87,VLOOKUP(AE87,$A$2:$B$1048576,2,FALSE)="TE",AE87,VLOOKUP(AF87,$A$2:$B$1048576,2,FALSE)="TE",AF87,VLOOKUP(AG87,$A$2:$B$1048576,2,FALSE)="TE",AG87,VLOOKUP(AH87,$A$2:$B$1048576,2,FALSE)="TE",AH87,VLOOKUP(AI87,$A$2:$B$1048576,2,FALSE)="TE",AI87)</f>
        <v>#N/A</v>
      </c>
      <c r="AR87" t="e" cm="1">
        <f t="array" ref="AR87">_xlfn.IFS(IF(OR(AA87=AK87,AA87=AL87,AA87=AM87,AA87=AN87,AA87=AO87,AA87=AP87,AA87=AQ87,AA87=AS87),1,0)=0,AA87,IF(OR(AB87=AK87,AB87=AL87,AB87=AM87,AB87=AN87,AB87=AO87,AB87=AP87,AB87=AQ87,AB87=AS87),1,0)=0,AB87,IF(OR(AC87=AK87,AC87=AL87,AC87=AM87,AC87=AN87,AC87=AO87,AC87=AP87,AC87=AQ87,AC87=AS87),1,0)=0,AC87,IF(OR(AD87=AK87,AD87=AL87,AD87=AM87,AD87=AN87,AD87=AO87,AD87=AP87,AD87=AQ87,AD87=AS87),1,0)=0,AD87,IF(OR(AE87=AK87,AE87=AL87,AE87=AM87,AE87=AN87,AE87=AO87,AE87=AP87,AE87=AQ87,AE87=AS87),1,0)=0,AE87,IF(OR(AF87=AK87,AF87=AL87,AF87=AM87,AF87=AN87,AF87=AO87,AF87=AP87,AF87=AQ87,AF87=AS87),1,0)=0,AF87,IF(OR(AG87=AK87,AG87=AL87,AG87=AM87,AG87=AN87,AG87=AO87,AG87=AP87,AG87=AQ87,AG87=AS87),1,0)=0,AG87,IF(OR(AH87=AK87,AH87=AL87,AH87=AM87,AH87=AN87,AH87=AO87,AH87=AP87,AH87=AQ87,AH87=AS87),1,0)=0,AH87,IF(OR(AI87=AK87,AI87=AL87,AI87=AM87,AI87=AN87,AI87=AO87,AI87=AP87,AI87=AQ87,AI87=AS87),1,0)=0,AI87)</f>
        <v>#N/A</v>
      </c>
      <c r="AS87" t="e" cm="1">
        <f t="array" ref="AS87">_xlfn.IFS(VLOOKUP(AA87,$A$2:$B$1048576,2,FALSE)="DST",AA87,VLOOKUP(AB87,$A$2:$B$1048576,2,FALSE)="DST",AB87,VLOOKUP(AC87,$A$2:$B$1048576,2,FALSE)="DST",AC87,VLOOKUP(AD87,$A$2:$B$1048576,2,FALSE)="DST",AD87,VLOOKUP(AE87,$A$2:$B$1048576,2,FALSE)="DST",AE87,VLOOKUP(AF87,$A$2:$B$1048576,2,FALSE)="DST",AF87,VLOOKUP(AG87,$A$2:$B$1048576,2,FALSE)="DST",AG87,VLOOKUP(AH87,$A$2:$B$1048576,2,FALSE)="DST",AH87,VLOOKUP(AI87,$A$2:$B$1048576,2,FALSE)="DST",AI87)</f>
        <v>#N/A</v>
      </c>
    </row>
    <row r="88" spans="1:45" x14ac:dyDescent="0.35">
      <c r="A88" t="s">
        <v>111</v>
      </c>
      <c r="B88" s="11" t="s">
        <v>8</v>
      </c>
      <c r="C88" s="11">
        <v>10000</v>
      </c>
      <c r="D88" s="12">
        <v>29.065263333333334</v>
      </c>
      <c r="E88" s="12">
        <v>30.048139593440265</v>
      </c>
      <c r="F88" s="12">
        <v>75.230452435466148</v>
      </c>
      <c r="G88" s="28"/>
      <c r="H88" s="11">
        <v>0</v>
      </c>
      <c r="I88">
        <f>IF(B88="QB",H88*1,0)</f>
        <v>0</v>
      </c>
      <c r="J88">
        <f>IF(B88="RB",H88*1,0)</f>
        <v>0</v>
      </c>
      <c r="K88">
        <f>IF(B88="WR",H88*1,0)</f>
        <v>0</v>
      </c>
      <c r="L88">
        <f>IF(B88="TE",H88*1,0)</f>
        <v>0</v>
      </c>
      <c r="M88">
        <f>IF(B88="DST",H88*1,0)</f>
        <v>0</v>
      </c>
      <c r="X88" s="11">
        <f t="shared" si="7"/>
        <v>1</v>
      </c>
      <c r="Y88" s="9">
        <v>87</v>
      </c>
      <c r="Z88" s="12">
        <f t="shared" si="8"/>
        <v>0</v>
      </c>
      <c r="AK88" t="e" cm="1">
        <f t="array" ref="AK88">_xlfn.IFS(VLOOKUP(AA88,$A$2:$B$1048576,2,FALSE)="QB",AA88,VLOOKUP(AB88,$A$2:$B$1048576,2,FALSE)="QB",AB88,VLOOKUP(AC88,$A$2:$B$1048576,2,FALSE)="QB",AC88,VLOOKUP(AD88,$A$2:$B$1048576,2,FALSE)="QB",AD88,VLOOKUP(AE88,$A$2:$B$1048576,2,FALSE)="QB",AE88,VLOOKUP(AF88,$A$2:$B$1048576,2,FALSE)="QB",AF88,VLOOKUP(AG88,$A$2:$B$1048576,2,FALSE)="QB",AG88,VLOOKUP(AH88,$A$2:$B$1048576,2,FALSE)="QB",AH88,VLOOKUP(AI88,$A$2:$B$1048576,2,FALSE)="QB",AI88)</f>
        <v>#N/A</v>
      </c>
      <c r="AL88" t="e" cm="1">
        <f t="array" ref="AL88">_xlfn.IFS(VLOOKUP(AA88,$A$2:$B$1048576,2,FALSE)="RB",AA88,VLOOKUP(AB88,$A$2:$B$1048576,2,FALSE)="RB",AB88,VLOOKUP(AC88,$A$2:$B$1048576,2,FALSE)="RB",AC88,VLOOKUP(AD88,$A$2:$B$1048576,2,FALSE)="RB",AD88,VLOOKUP(AE88,$A$2:$B$1048576,2,FALSE)="RB",AE88,VLOOKUP(AF88,$A$2:$B$1048576,2,FALSE)="RB",AF88,VLOOKUP(AG88,$A$2:$B$1048576,2,FALSE)="RB",AG88,VLOOKUP(AH88,$A$2:$B$1048576,2,FALSE)="RB",AH88,VLOOKUP(AI88,$A$2:$B$1048576,2,FALSE)="RB",AI88)</f>
        <v>#N/A</v>
      </c>
      <c r="AM88" t="e">
        <f t="shared" si="9"/>
        <v>#N/A</v>
      </c>
      <c r="AN88" t="e" cm="1">
        <f t="array" ref="AN88">_xlfn.IFS(VLOOKUP(AA88,$A$2:$B$1048576,2,FALSE)="WR",AA88,VLOOKUP(AB88,$A$2:$B$1048576,2,FALSE)="WR",AB88,VLOOKUP(AC88,$A$2:$B$1048576,2,FALSE)="WR",AC88,VLOOKUP(AD88,$A$2:$B$1048576,2,FALSE)="WR",AD88,VLOOKUP(AE88,$A$2:$B$1048576,2,FALSE)="WR",AE88,VLOOKUP(AF88,$A$2:$B$1048576,2,FALSE)="WR",AF88,VLOOKUP(AG88,$A$2:$B$1048576,2,FALSE)="WR",AG88,VLOOKUP(AH88,$A$2:$B$1048576,2,FALSE)="WR",AH88,VLOOKUP(AI88,$A$2:$B$1048576,2,FALSE)="WR",AI88)</f>
        <v>#N/A</v>
      </c>
      <c r="AO88" t="e">
        <f t="shared" si="10"/>
        <v>#N/A</v>
      </c>
      <c r="AP88" t="e">
        <f t="shared" si="11"/>
        <v>#N/A</v>
      </c>
      <c r="AQ88" t="e" cm="1">
        <f t="array" ref="AQ88">_xlfn.IFS(VLOOKUP(AA88,$A$2:$B$1048576,2,FALSE)="TE",AA88,VLOOKUP(AB88,$A$2:$B$1048576,2,FALSE)="TE",AB88,VLOOKUP(AC88,$A$2:$B$1048576,2,FALSE)="TE",AC88,VLOOKUP(AD88,$A$2:$B$1048576,2,FALSE)="TE",AD88,VLOOKUP(AE88,$A$2:$B$1048576,2,FALSE)="TE",AE88,VLOOKUP(AF88,$A$2:$B$1048576,2,FALSE)="TE",AF88,VLOOKUP(AG88,$A$2:$B$1048576,2,FALSE)="TE",AG88,VLOOKUP(AH88,$A$2:$B$1048576,2,FALSE)="TE",AH88,VLOOKUP(AI88,$A$2:$B$1048576,2,FALSE)="TE",AI88)</f>
        <v>#N/A</v>
      </c>
      <c r="AR88" t="e" cm="1">
        <f t="array" ref="AR88">_xlfn.IFS(IF(OR(AA88=AK88,AA88=AL88,AA88=AM88,AA88=AN88,AA88=AO88,AA88=AP88,AA88=AQ88,AA88=AS88),1,0)=0,AA88,IF(OR(AB88=AK88,AB88=AL88,AB88=AM88,AB88=AN88,AB88=AO88,AB88=AP88,AB88=AQ88,AB88=AS88),1,0)=0,AB88,IF(OR(AC88=AK88,AC88=AL88,AC88=AM88,AC88=AN88,AC88=AO88,AC88=AP88,AC88=AQ88,AC88=AS88),1,0)=0,AC88,IF(OR(AD88=AK88,AD88=AL88,AD88=AM88,AD88=AN88,AD88=AO88,AD88=AP88,AD88=AQ88,AD88=AS88),1,0)=0,AD88,IF(OR(AE88=AK88,AE88=AL88,AE88=AM88,AE88=AN88,AE88=AO88,AE88=AP88,AE88=AQ88,AE88=AS88),1,0)=0,AE88,IF(OR(AF88=AK88,AF88=AL88,AF88=AM88,AF88=AN88,AF88=AO88,AF88=AP88,AF88=AQ88,AF88=AS88),1,0)=0,AF88,IF(OR(AG88=AK88,AG88=AL88,AG88=AM88,AG88=AN88,AG88=AO88,AG88=AP88,AG88=AQ88,AG88=AS88),1,0)=0,AG88,IF(OR(AH88=AK88,AH88=AL88,AH88=AM88,AH88=AN88,AH88=AO88,AH88=AP88,AH88=AQ88,AH88=AS88),1,0)=0,AH88,IF(OR(AI88=AK88,AI88=AL88,AI88=AM88,AI88=AN88,AI88=AO88,AI88=AP88,AI88=AQ88,AI88=AS88),1,0)=0,AI88)</f>
        <v>#N/A</v>
      </c>
      <c r="AS88" t="e" cm="1">
        <f t="array" ref="AS88">_xlfn.IFS(VLOOKUP(AA88,$A$2:$B$1048576,2,FALSE)="DST",AA88,VLOOKUP(AB88,$A$2:$B$1048576,2,FALSE)="DST",AB88,VLOOKUP(AC88,$A$2:$B$1048576,2,FALSE)="DST",AC88,VLOOKUP(AD88,$A$2:$B$1048576,2,FALSE)="DST",AD88,VLOOKUP(AE88,$A$2:$B$1048576,2,FALSE)="DST",AE88,VLOOKUP(AF88,$A$2:$B$1048576,2,FALSE)="DST",AF88,VLOOKUP(AG88,$A$2:$B$1048576,2,FALSE)="DST",AG88,VLOOKUP(AH88,$A$2:$B$1048576,2,FALSE)="DST",AH88,VLOOKUP(AI88,$A$2:$B$1048576,2,FALSE)="DST",AI88)</f>
        <v>#N/A</v>
      </c>
    </row>
    <row r="89" spans="1:45" x14ac:dyDescent="0.35">
      <c r="A89" t="s">
        <v>112</v>
      </c>
      <c r="B89" s="11" t="s">
        <v>8</v>
      </c>
      <c r="C89" s="11">
        <v>7900</v>
      </c>
      <c r="D89" s="12">
        <v>22.163596666666667</v>
      </c>
      <c r="E89" s="12">
        <v>22.512010284157512</v>
      </c>
      <c r="F89" s="12">
        <v>54.464946626451514</v>
      </c>
      <c r="H89" s="11">
        <v>0</v>
      </c>
      <c r="I89">
        <f>IF(B89="QB",H89*1,0)</f>
        <v>0</v>
      </c>
      <c r="J89">
        <f>IF(B89="RB",H89*1,0)</f>
        <v>0</v>
      </c>
      <c r="K89">
        <f>IF(B89="WR",H89*1,0)</f>
        <v>0</v>
      </c>
      <c r="L89">
        <f>IF(B89="TE",H89*1,0)</f>
        <v>0</v>
      </c>
      <c r="M89">
        <f>IF(B89="DST",H89*1,0)</f>
        <v>0</v>
      </c>
      <c r="X89" s="11">
        <f t="shared" si="7"/>
        <v>1</v>
      </c>
      <c r="Y89" s="9">
        <v>88</v>
      </c>
      <c r="Z89" s="12">
        <f t="shared" si="8"/>
        <v>0</v>
      </c>
      <c r="AK89" t="e" cm="1">
        <f t="array" ref="AK89">_xlfn.IFS(VLOOKUP(AA89,$A$2:$B$1048576,2,FALSE)="QB",AA89,VLOOKUP(AB89,$A$2:$B$1048576,2,FALSE)="QB",AB89,VLOOKUP(AC89,$A$2:$B$1048576,2,FALSE)="QB",AC89,VLOOKUP(AD89,$A$2:$B$1048576,2,FALSE)="QB",AD89,VLOOKUP(AE89,$A$2:$B$1048576,2,FALSE)="QB",AE89,VLOOKUP(AF89,$A$2:$B$1048576,2,FALSE)="QB",AF89,VLOOKUP(AG89,$A$2:$B$1048576,2,FALSE)="QB",AG89,VLOOKUP(AH89,$A$2:$B$1048576,2,FALSE)="QB",AH89,VLOOKUP(AI89,$A$2:$B$1048576,2,FALSE)="QB",AI89)</f>
        <v>#N/A</v>
      </c>
      <c r="AL89" t="e" cm="1">
        <f t="array" ref="AL89">_xlfn.IFS(VLOOKUP(AA89,$A$2:$B$1048576,2,FALSE)="RB",AA89,VLOOKUP(AB89,$A$2:$B$1048576,2,FALSE)="RB",AB89,VLOOKUP(AC89,$A$2:$B$1048576,2,FALSE)="RB",AC89,VLOOKUP(AD89,$A$2:$B$1048576,2,FALSE)="RB",AD89,VLOOKUP(AE89,$A$2:$B$1048576,2,FALSE)="RB",AE89,VLOOKUP(AF89,$A$2:$B$1048576,2,FALSE)="RB",AF89,VLOOKUP(AG89,$A$2:$B$1048576,2,FALSE)="RB",AG89,VLOOKUP(AH89,$A$2:$B$1048576,2,FALSE)="RB",AH89,VLOOKUP(AI89,$A$2:$B$1048576,2,FALSE)="RB",AI89)</f>
        <v>#N/A</v>
      </c>
      <c r="AM89" t="e">
        <f t="shared" si="9"/>
        <v>#N/A</v>
      </c>
      <c r="AN89" t="e" cm="1">
        <f t="array" ref="AN89">_xlfn.IFS(VLOOKUP(AA89,$A$2:$B$1048576,2,FALSE)="WR",AA89,VLOOKUP(AB89,$A$2:$B$1048576,2,FALSE)="WR",AB89,VLOOKUP(AC89,$A$2:$B$1048576,2,FALSE)="WR",AC89,VLOOKUP(AD89,$A$2:$B$1048576,2,FALSE)="WR",AD89,VLOOKUP(AE89,$A$2:$B$1048576,2,FALSE)="WR",AE89,VLOOKUP(AF89,$A$2:$B$1048576,2,FALSE)="WR",AF89,VLOOKUP(AG89,$A$2:$B$1048576,2,FALSE)="WR",AG89,VLOOKUP(AH89,$A$2:$B$1048576,2,FALSE)="WR",AH89,VLOOKUP(AI89,$A$2:$B$1048576,2,FALSE)="WR",AI89)</f>
        <v>#N/A</v>
      </c>
      <c r="AO89" t="e">
        <f t="shared" si="10"/>
        <v>#N/A</v>
      </c>
      <c r="AP89" t="e">
        <f t="shared" si="11"/>
        <v>#N/A</v>
      </c>
      <c r="AQ89" t="e" cm="1">
        <f t="array" ref="AQ89">_xlfn.IFS(VLOOKUP(AA89,$A$2:$B$1048576,2,FALSE)="TE",AA89,VLOOKUP(AB89,$A$2:$B$1048576,2,FALSE)="TE",AB89,VLOOKUP(AC89,$A$2:$B$1048576,2,FALSE)="TE",AC89,VLOOKUP(AD89,$A$2:$B$1048576,2,FALSE)="TE",AD89,VLOOKUP(AE89,$A$2:$B$1048576,2,FALSE)="TE",AE89,VLOOKUP(AF89,$A$2:$B$1048576,2,FALSE)="TE",AF89,VLOOKUP(AG89,$A$2:$B$1048576,2,FALSE)="TE",AG89,VLOOKUP(AH89,$A$2:$B$1048576,2,FALSE)="TE",AH89,VLOOKUP(AI89,$A$2:$B$1048576,2,FALSE)="TE",AI89)</f>
        <v>#N/A</v>
      </c>
      <c r="AR89" t="e" cm="1">
        <f t="array" ref="AR89">_xlfn.IFS(IF(OR(AA89=AK89,AA89=AL89,AA89=AM89,AA89=AN89,AA89=AO89,AA89=AP89,AA89=AQ89,AA89=AS89),1,0)=0,AA89,IF(OR(AB89=AK89,AB89=AL89,AB89=AM89,AB89=AN89,AB89=AO89,AB89=AP89,AB89=AQ89,AB89=AS89),1,0)=0,AB89,IF(OR(AC89=AK89,AC89=AL89,AC89=AM89,AC89=AN89,AC89=AO89,AC89=AP89,AC89=AQ89,AC89=AS89),1,0)=0,AC89,IF(OR(AD89=AK89,AD89=AL89,AD89=AM89,AD89=AN89,AD89=AO89,AD89=AP89,AD89=AQ89,AD89=AS89),1,0)=0,AD89,IF(OR(AE89=AK89,AE89=AL89,AE89=AM89,AE89=AN89,AE89=AO89,AE89=AP89,AE89=AQ89,AE89=AS89),1,0)=0,AE89,IF(OR(AF89=AK89,AF89=AL89,AF89=AM89,AF89=AN89,AF89=AO89,AF89=AP89,AF89=AQ89,AF89=AS89),1,0)=0,AF89,IF(OR(AG89=AK89,AG89=AL89,AG89=AM89,AG89=AN89,AG89=AO89,AG89=AP89,AG89=AQ89,AG89=AS89),1,0)=0,AG89,IF(OR(AH89=AK89,AH89=AL89,AH89=AM89,AH89=AN89,AH89=AO89,AH89=AP89,AH89=AQ89,AH89=AS89),1,0)=0,AH89,IF(OR(AI89=AK89,AI89=AL89,AI89=AM89,AI89=AN89,AI89=AO89,AI89=AP89,AI89=AQ89,AI89=AS89),1,0)=0,AI89)</f>
        <v>#N/A</v>
      </c>
      <c r="AS89" t="e" cm="1">
        <f t="array" ref="AS89">_xlfn.IFS(VLOOKUP(AA89,$A$2:$B$1048576,2,FALSE)="DST",AA89,VLOOKUP(AB89,$A$2:$B$1048576,2,FALSE)="DST",AB89,VLOOKUP(AC89,$A$2:$B$1048576,2,FALSE)="DST",AC89,VLOOKUP(AD89,$A$2:$B$1048576,2,FALSE)="DST",AD89,VLOOKUP(AE89,$A$2:$B$1048576,2,FALSE)="DST",AE89,VLOOKUP(AF89,$A$2:$B$1048576,2,FALSE)="DST",AF89,VLOOKUP(AG89,$A$2:$B$1048576,2,FALSE)="DST",AG89,VLOOKUP(AH89,$A$2:$B$1048576,2,FALSE)="DST",AH89,VLOOKUP(AI89,$A$2:$B$1048576,2,FALSE)="DST",AI89)</f>
        <v>#N/A</v>
      </c>
    </row>
    <row r="90" spans="1:45" x14ac:dyDescent="0.35">
      <c r="A90" t="s">
        <v>113</v>
      </c>
      <c r="B90" s="11" t="s">
        <v>8</v>
      </c>
      <c r="C90" s="11">
        <v>6800</v>
      </c>
      <c r="D90" s="12">
        <v>19.847346666666667</v>
      </c>
      <c r="E90" s="12">
        <v>20.095999948408643</v>
      </c>
      <c r="F90" s="12">
        <v>47.568709061242586</v>
      </c>
      <c r="H90" s="11">
        <v>0</v>
      </c>
      <c r="I90">
        <f>IF(B90="QB",H90*1,0)</f>
        <v>0</v>
      </c>
      <c r="J90">
        <f>IF(B90="RB",H90*1,0)</f>
        <v>0</v>
      </c>
      <c r="K90">
        <f>IF(B90="WR",H90*1,0)</f>
        <v>0</v>
      </c>
      <c r="L90">
        <f>IF(B90="TE",H90*1,0)</f>
        <v>0</v>
      </c>
      <c r="M90">
        <f>IF(B90="DST",H90*1,0)</f>
        <v>0</v>
      </c>
      <c r="X90" s="11">
        <f t="shared" si="7"/>
        <v>1</v>
      </c>
      <c r="Y90" s="9">
        <v>89</v>
      </c>
      <c r="Z90" s="12">
        <f t="shared" si="8"/>
        <v>0</v>
      </c>
      <c r="AK90" t="e" cm="1">
        <f t="array" ref="AK90">_xlfn.IFS(VLOOKUP(AA90,$A$2:$B$1048576,2,FALSE)="QB",AA90,VLOOKUP(AB90,$A$2:$B$1048576,2,FALSE)="QB",AB90,VLOOKUP(AC90,$A$2:$B$1048576,2,FALSE)="QB",AC90,VLOOKUP(AD90,$A$2:$B$1048576,2,FALSE)="QB",AD90,VLOOKUP(AE90,$A$2:$B$1048576,2,FALSE)="QB",AE90,VLOOKUP(AF90,$A$2:$B$1048576,2,FALSE)="QB",AF90,VLOOKUP(AG90,$A$2:$B$1048576,2,FALSE)="QB",AG90,VLOOKUP(AH90,$A$2:$B$1048576,2,FALSE)="QB",AH90,VLOOKUP(AI90,$A$2:$B$1048576,2,FALSE)="QB",AI90)</f>
        <v>#N/A</v>
      </c>
      <c r="AL90" t="e" cm="1">
        <f t="array" ref="AL90">_xlfn.IFS(VLOOKUP(AA90,$A$2:$B$1048576,2,FALSE)="RB",AA90,VLOOKUP(AB90,$A$2:$B$1048576,2,FALSE)="RB",AB90,VLOOKUP(AC90,$A$2:$B$1048576,2,FALSE)="RB",AC90,VLOOKUP(AD90,$A$2:$B$1048576,2,FALSE)="RB",AD90,VLOOKUP(AE90,$A$2:$B$1048576,2,FALSE)="RB",AE90,VLOOKUP(AF90,$A$2:$B$1048576,2,FALSE)="RB",AF90,VLOOKUP(AG90,$A$2:$B$1048576,2,FALSE)="RB",AG90,VLOOKUP(AH90,$A$2:$B$1048576,2,FALSE)="RB",AH90,VLOOKUP(AI90,$A$2:$B$1048576,2,FALSE)="RB",AI90)</f>
        <v>#N/A</v>
      </c>
      <c r="AM90" t="e">
        <f t="shared" si="9"/>
        <v>#N/A</v>
      </c>
      <c r="AN90" t="e" cm="1">
        <f t="array" ref="AN90">_xlfn.IFS(VLOOKUP(AA90,$A$2:$B$1048576,2,FALSE)="WR",AA90,VLOOKUP(AB90,$A$2:$B$1048576,2,FALSE)="WR",AB90,VLOOKUP(AC90,$A$2:$B$1048576,2,FALSE)="WR",AC90,VLOOKUP(AD90,$A$2:$B$1048576,2,FALSE)="WR",AD90,VLOOKUP(AE90,$A$2:$B$1048576,2,FALSE)="WR",AE90,VLOOKUP(AF90,$A$2:$B$1048576,2,FALSE)="WR",AF90,VLOOKUP(AG90,$A$2:$B$1048576,2,FALSE)="WR",AG90,VLOOKUP(AH90,$A$2:$B$1048576,2,FALSE)="WR",AH90,VLOOKUP(AI90,$A$2:$B$1048576,2,FALSE)="WR",AI90)</f>
        <v>#N/A</v>
      </c>
      <c r="AO90" t="e">
        <f t="shared" si="10"/>
        <v>#N/A</v>
      </c>
      <c r="AP90" t="e">
        <f t="shared" si="11"/>
        <v>#N/A</v>
      </c>
      <c r="AQ90" t="e" cm="1">
        <f t="array" ref="AQ90">_xlfn.IFS(VLOOKUP(AA90,$A$2:$B$1048576,2,FALSE)="TE",AA90,VLOOKUP(AB90,$A$2:$B$1048576,2,FALSE)="TE",AB90,VLOOKUP(AC90,$A$2:$B$1048576,2,FALSE)="TE",AC90,VLOOKUP(AD90,$A$2:$B$1048576,2,FALSE)="TE",AD90,VLOOKUP(AE90,$A$2:$B$1048576,2,FALSE)="TE",AE90,VLOOKUP(AF90,$A$2:$B$1048576,2,FALSE)="TE",AF90,VLOOKUP(AG90,$A$2:$B$1048576,2,FALSE)="TE",AG90,VLOOKUP(AH90,$A$2:$B$1048576,2,FALSE)="TE",AH90,VLOOKUP(AI90,$A$2:$B$1048576,2,FALSE)="TE",AI90)</f>
        <v>#N/A</v>
      </c>
      <c r="AR90" t="e" cm="1">
        <f t="array" ref="AR90">_xlfn.IFS(IF(OR(AA90=AK90,AA90=AL90,AA90=AM90,AA90=AN90,AA90=AO90,AA90=AP90,AA90=AQ90,AA90=AS90),1,0)=0,AA90,IF(OR(AB90=AK90,AB90=AL90,AB90=AM90,AB90=AN90,AB90=AO90,AB90=AP90,AB90=AQ90,AB90=AS90),1,0)=0,AB90,IF(OR(AC90=AK90,AC90=AL90,AC90=AM90,AC90=AN90,AC90=AO90,AC90=AP90,AC90=AQ90,AC90=AS90),1,0)=0,AC90,IF(OR(AD90=AK90,AD90=AL90,AD90=AM90,AD90=AN90,AD90=AO90,AD90=AP90,AD90=AQ90,AD90=AS90),1,0)=0,AD90,IF(OR(AE90=AK90,AE90=AL90,AE90=AM90,AE90=AN90,AE90=AO90,AE90=AP90,AE90=AQ90,AE90=AS90),1,0)=0,AE90,IF(OR(AF90=AK90,AF90=AL90,AF90=AM90,AF90=AN90,AF90=AO90,AF90=AP90,AF90=AQ90,AF90=AS90),1,0)=0,AF90,IF(OR(AG90=AK90,AG90=AL90,AG90=AM90,AG90=AN90,AG90=AO90,AG90=AP90,AG90=AQ90,AG90=AS90),1,0)=0,AG90,IF(OR(AH90=AK90,AH90=AL90,AH90=AM90,AH90=AN90,AH90=AO90,AH90=AP90,AH90=AQ90,AH90=AS90),1,0)=0,AH90,IF(OR(AI90=AK90,AI90=AL90,AI90=AM90,AI90=AN90,AI90=AO90,AI90=AP90,AI90=AQ90,AI90=AS90),1,0)=0,AI90)</f>
        <v>#N/A</v>
      </c>
      <c r="AS90" t="e" cm="1">
        <f t="array" ref="AS90">_xlfn.IFS(VLOOKUP(AA90,$A$2:$B$1048576,2,FALSE)="DST",AA90,VLOOKUP(AB90,$A$2:$B$1048576,2,FALSE)="DST",AB90,VLOOKUP(AC90,$A$2:$B$1048576,2,FALSE)="DST",AC90,VLOOKUP(AD90,$A$2:$B$1048576,2,FALSE)="DST",AD90,VLOOKUP(AE90,$A$2:$B$1048576,2,FALSE)="DST",AE90,VLOOKUP(AF90,$A$2:$B$1048576,2,FALSE)="DST",AF90,VLOOKUP(AG90,$A$2:$B$1048576,2,FALSE)="DST",AG90,VLOOKUP(AH90,$A$2:$B$1048576,2,FALSE)="DST",AH90,VLOOKUP(AI90,$A$2:$B$1048576,2,FALSE)="DST",AI90)</f>
        <v>#N/A</v>
      </c>
    </row>
    <row r="91" spans="1:45" x14ac:dyDescent="0.35">
      <c r="A91" t="s">
        <v>114</v>
      </c>
      <c r="B91" s="11" t="s">
        <v>8</v>
      </c>
      <c r="C91" s="11">
        <v>6700</v>
      </c>
      <c r="D91" s="12">
        <v>18.699013333333333</v>
      </c>
      <c r="E91" s="12">
        <v>18.958752941404114</v>
      </c>
      <c r="F91" s="12">
        <v>44.070571370738755</v>
      </c>
      <c r="H91" s="11">
        <v>0</v>
      </c>
      <c r="I91">
        <f>IF(B91="QB",H91*1,0)</f>
        <v>0</v>
      </c>
      <c r="J91">
        <f>IF(B91="RB",H91*1,0)</f>
        <v>0</v>
      </c>
      <c r="K91">
        <f>IF(B91="WR",H91*1,0)</f>
        <v>0</v>
      </c>
      <c r="L91">
        <f>IF(B91="TE",H91*1,0)</f>
        <v>0</v>
      </c>
      <c r="M91">
        <f>IF(B91="DST",H91*1,0)</f>
        <v>0</v>
      </c>
      <c r="X91" s="11">
        <f t="shared" si="7"/>
        <v>1</v>
      </c>
      <c r="Y91" s="9">
        <v>90</v>
      </c>
      <c r="Z91" s="12">
        <f t="shared" si="8"/>
        <v>0</v>
      </c>
      <c r="AK91" t="e" cm="1">
        <f t="array" ref="AK91">_xlfn.IFS(VLOOKUP(AA91,$A$2:$B$1048576,2,FALSE)="QB",AA91,VLOOKUP(AB91,$A$2:$B$1048576,2,FALSE)="QB",AB91,VLOOKUP(AC91,$A$2:$B$1048576,2,FALSE)="QB",AC91,VLOOKUP(AD91,$A$2:$B$1048576,2,FALSE)="QB",AD91,VLOOKUP(AE91,$A$2:$B$1048576,2,FALSE)="QB",AE91,VLOOKUP(AF91,$A$2:$B$1048576,2,FALSE)="QB",AF91,VLOOKUP(AG91,$A$2:$B$1048576,2,FALSE)="QB",AG91,VLOOKUP(AH91,$A$2:$B$1048576,2,FALSE)="QB",AH91,VLOOKUP(AI91,$A$2:$B$1048576,2,FALSE)="QB",AI91)</f>
        <v>#N/A</v>
      </c>
      <c r="AL91" t="e" cm="1">
        <f t="array" ref="AL91">_xlfn.IFS(VLOOKUP(AA91,$A$2:$B$1048576,2,FALSE)="RB",AA91,VLOOKUP(AB91,$A$2:$B$1048576,2,FALSE)="RB",AB91,VLOOKUP(AC91,$A$2:$B$1048576,2,FALSE)="RB",AC91,VLOOKUP(AD91,$A$2:$B$1048576,2,FALSE)="RB",AD91,VLOOKUP(AE91,$A$2:$B$1048576,2,FALSE)="RB",AE91,VLOOKUP(AF91,$A$2:$B$1048576,2,FALSE)="RB",AF91,VLOOKUP(AG91,$A$2:$B$1048576,2,FALSE)="RB",AG91,VLOOKUP(AH91,$A$2:$B$1048576,2,FALSE)="RB",AH91,VLOOKUP(AI91,$A$2:$B$1048576,2,FALSE)="RB",AI91)</f>
        <v>#N/A</v>
      </c>
      <c r="AM91" t="e">
        <f t="shared" si="9"/>
        <v>#N/A</v>
      </c>
      <c r="AN91" t="e" cm="1">
        <f t="array" ref="AN91">_xlfn.IFS(VLOOKUP(AA91,$A$2:$B$1048576,2,FALSE)="WR",AA91,VLOOKUP(AB91,$A$2:$B$1048576,2,FALSE)="WR",AB91,VLOOKUP(AC91,$A$2:$B$1048576,2,FALSE)="WR",AC91,VLOOKUP(AD91,$A$2:$B$1048576,2,FALSE)="WR",AD91,VLOOKUP(AE91,$A$2:$B$1048576,2,FALSE)="WR",AE91,VLOOKUP(AF91,$A$2:$B$1048576,2,FALSE)="WR",AF91,VLOOKUP(AG91,$A$2:$B$1048576,2,FALSE)="WR",AG91,VLOOKUP(AH91,$A$2:$B$1048576,2,FALSE)="WR",AH91,VLOOKUP(AI91,$A$2:$B$1048576,2,FALSE)="WR",AI91)</f>
        <v>#N/A</v>
      </c>
      <c r="AO91" t="e">
        <f t="shared" si="10"/>
        <v>#N/A</v>
      </c>
      <c r="AP91" t="e">
        <f t="shared" si="11"/>
        <v>#N/A</v>
      </c>
      <c r="AQ91" t="e" cm="1">
        <f t="array" ref="AQ91">_xlfn.IFS(VLOOKUP(AA91,$A$2:$B$1048576,2,FALSE)="TE",AA91,VLOOKUP(AB91,$A$2:$B$1048576,2,FALSE)="TE",AB91,VLOOKUP(AC91,$A$2:$B$1048576,2,FALSE)="TE",AC91,VLOOKUP(AD91,$A$2:$B$1048576,2,FALSE)="TE",AD91,VLOOKUP(AE91,$A$2:$B$1048576,2,FALSE)="TE",AE91,VLOOKUP(AF91,$A$2:$B$1048576,2,FALSE)="TE",AF91,VLOOKUP(AG91,$A$2:$B$1048576,2,FALSE)="TE",AG91,VLOOKUP(AH91,$A$2:$B$1048576,2,FALSE)="TE",AH91,VLOOKUP(AI91,$A$2:$B$1048576,2,FALSE)="TE",AI91)</f>
        <v>#N/A</v>
      </c>
      <c r="AR91" t="e" cm="1">
        <f t="array" ref="AR91">_xlfn.IFS(IF(OR(AA91=AK91,AA91=AL91,AA91=AM91,AA91=AN91,AA91=AO91,AA91=AP91,AA91=AQ91,AA91=AS91),1,0)=0,AA91,IF(OR(AB91=AK91,AB91=AL91,AB91=AM91,AB91=AN91,AB91=AO91,AB91=AP91,AB91=AQ91,AB91=AS91),1,0)=0,AB91,IF(OR(AC91=AK91,AC91=AL91,AC91=AM91,AC91=AN91,AC91=AO91,AC91=AP91,AC91=AQ91,AC91=AS91),1,0)=0,AC91,IF(OR(AD91=AK91,AD91=AL91,AD91=AM91,AD91=AN91,AD91=AO91,AD91=AP91,AD91=AQ91,AD91=AS91),1,0)=0,AD91,IF(OR(AE91=AK91,AE91=AL91,AE91=AM91,AE91=AN91,AE91=AO91,AE91=AP91,AE91=AQ91,AE91=AS91),1,0)=0,AE91,IF(OR(AF91=AK91,AF91=AL91,AF91=AM91,AF91=AN91,AF91=AO91,AF91=AP91,AF91=AQ91,AF91=AS91),1,0)=0,AF91,IF(OR(AG91=AK91,AG91=AL91,AG91=AM91,AG91=AN91,AG91=AO91,AG91=AP91,AG91=AQ91,AG91=AS91),1,0)=0,AG91,IF(OR(AH91=AK91,AH91=AL91,AH91=AM91,AH91=AN91,AH91=AO91,AH91=AP91,AH91=AQ91,AH91=AS91),1,0)=0,AH91,IF(OR(AI91=AK91,AI91=AL91,AI91=AM91,AI91=AN91,AI91=AO91,AI91=AP91,AI91=AQ91,AI91=AS91),1,0)=0,AI91)</f>
        <v>#N/A</v>
      </c>
      <c r="AS91" t="e" cm="1">
        <f t="array" ref="AS91">_xlfn.IFS(VLOOKUP(AA91,$A$2:$B$1048576,2,FALSE)="DST",AA91,VLOOKUP(AB91,$A$2:$B$1048576,2,FALSE)="DST",AB91,VLOOKUP(AC91,$A$2:$B$1048576,2,FALSE)="DST",AC91,VLOOKUP(AD91,$A$2:$B$1048576,2,FALSE)="DST",AD91,VLOOKUP(AE91,$A$2:$B$1048576,2,FALSE)="DST",AE91,VLOOKUP(AF91,$A$2:$B$1048576,2,FALSE)="DST",AF91,VLOOKUP(AG91,$A$2:$B$1048576,2,FALSE)="DST",AG91,VLOOKUP(AH91,$A$2:$B$1048576,2,FALSE)="DST",AH91,VLOOKUP(AI91,$A$2:$B$1048576,2,FALSE)="DST",AI91)</f>
        <v>#N/A</v>
      </c>
    </row>
    <row r="92" spans="1:45" x14ac:dyDescent="0.35">
      <c r="A92" t="s">
        <v>115</v>
      </c>
      <c r="B92" s="11" t="s">
        <v>8</v>
      </c>
      <c r="C92" s="11">
        <v>7200</v>
      </c>
      <c r="D92" s="12">
        <v>17.73443</v>
      </c>
      <c r="E92" s="12">
        <v>17.905082304786749</v>
      </c>
      <c r="F92" s="12">
        <v>41.056939931698096</v>
      </c>
      <c r="H92" s="11">
        <v>0</v>
      </c>
      <c r="I92">
        <f>IF(B92="QB",H92*1,0)</f>
        <v>0</v>
      </c>
      <c r="J92">
        <f>IF(B92="RB",H92*1,0)</f>
        <v>0</v>
      </c>
      <c r="K92">
        <f>IF(B92="WR",H92*1,0)</f>
        <v>0</v>
      </c>
      <c r="L92">
        <f>IF(B92="TE",H92*1,0)</f>
        <v>0</v>
      </c>
      <c r="M92">
        <f>IF(B92="DST",H92*1,0)</f>
        <v>0</v>
      </c>
      <c r="X92" s="11">
        <f t="shared" si="7"/>
        <v>1</v>
      </c>
      <c r="Y92" s="9">
        <v>91</v>
      </c>
      <c r="Z92" s="12">
        <f t="shared" si="8"/>
        <v>0</v>
      </c>
      <c r="AK92" t="e" cm="1">
        <f t="array" ref="AK92">_xlfn.IFS(VLOOKUP(AA92,$A$2:$B$1048576,2,FALSE)="QB",AA92,VLOOKUP(AB92,$A$2:$B$1048576,2,FALSE)="QB",AB92,VLOOKUP(AC92,$A$2:$B$1048576,2,FALSE)="QB",AC92,VLOOKUP(AD92,$A$2:$B$1048576,2,FALSE)="QB",AD92,VLOOKUP(AE92,$A$2:$B$1048576,2,FALSE)="QB",AE92,VLOOKUP(AF92,$A$2:$B$1048576,2,FALSE)="QB",AF92,VLOOKUP(AG92,$A$2:$B$1048576,2,FALSE)="QB",AG92,VLOOKUP(AH92,$A$2:$B$1048576,2,FALSE)="QB",AH92,VLOOKUP(AI92,$A$2:$B$1048576,2,FALSE)="QB",AI92)</f>
        <v>#N/A</v>
      </c>
      <c r="AL92" t="e" cm="1">
        <f t="array" ref="AL92">_xlfn.IFS(VLOOKUP(AA92,$A$2:$B$1048576,2,FALSE)="RB",AA92,VLOOKUP(AB92,$A$2:$B$1048576,2,FALSE)="RB",AB92,VLOOKUP(AC92,$A$2:$B$1048576,2,FALSE)="RB",AC92,VLOOKUP(AD92,$A$2:$B$1048576,2,FALSE)="RB",AD92,VLOOKUP(AE92,$A$2:$B$1048576,2,FALSE)="RB",AE92,VLOOKUP(AF92,$A$2:$B$1048576,2,FALSE)="RB",AF92,VLOOKUP(AG92,$A$2:$B$1048576,2,FALSE)="RB",AG92,VLOOKUP(AH92,$A$2:$B$1048576,2,FALSE)="RB",AH92,VLOOKUP(AI92,$A$2:$B$1048576,2,FALSE)="RB",AI92)</f>
        <v>#N/A</v>
      </c>
      <c r="AM92" t="e">
        <f t="shared" si="9"/>
        <v>#N/A</v>
      </c>
      <c r="AN92" t="e" cm="1">
        <f t="array" ref="AN92">_xlfn.IFS(VLOOKUP(AA92,$A$2:$B$1048576,2,FALSE)="WR",AA92,VLOOKUP(AB92,$A$2:$B$1048576,2,FALSE)="WR",AB92,VLOOKUP(AC92,$A$2:$B$1048576,2,FALSE)="WR",AC92,VLOOKUP(AD92,$A$2:$B$1048576,2,FALSE)="WR",AD92,VLOOKUP(AE92,$A$2:$B$1048576,2,FALSE)="WR",AE92,VLOOKUP(AF92,$A$2:$B$1048576,2,FALSE)="WR",AF92,VLOOKUP(AG92,$A$2:$B$1048576,2,FALSE)="WR",AG92,VLOOKUP(AH92,$A$2:$B$1048576,2,FALSE)="WR",AH92,VLOOKUP(AI92,$A$2:$B$1048576,2,FALSE)="WR",AI92)</f>
        <v>#N/A</v>
      </c>
      <c r="AO92" t="e">
        <f t="shared" si="10"/>
        <v>#N/A</v>
      </c>
      <c r="AP92" t="e">
        <f t="shared" si="11"/>
        <v>#N/A</v>
      </c>
      <c r="AQ92" t="e" cm="1">
        <f t="array" ref="AQ92">_xlfn.IFS(VLOOKUP(AA92,$A$2:$B$1048576,2,FALSE)="TE",AA92,VLOOKUP(AB92,$A$2:$B$1048576,2,FALSE)="TE",AB92,VLOOKUP(AC92,$A$2:$B$1048576,2,FALSE)="TE",AC92,VLOOKUP(AD92,$A$2:$B$1048576,2,FALSE)="TE",AD92,VLOOKUP(AE92,$A$2:$B$1048576,2,FALSE)="TE",AE92,VLOOKUP(AF92,$A$2:$B$1048576,2,FALSE)="TE",AF92,VLOOKUP(AG92,$A$2:$B$1048576,2,FALSE)="TE",AG92,VLOOKUP(AH92,$A$2:$B$1048576,2,FALSE)="TE",AH92,VLOOKUP(AI92,$A$2:$B$1048576,2,FALSE)="TE",AI92)</f>
        <v>#N/A</v>
      </c>
      <c r="AR92" t="e" cm="1">
        <f t="array" ref="AR92">_xlfn.IFS(IF(OR(AA92=AK92,AA92=AL92,AA92=AM92,AA92=AN92,AA92=AO92,AA92=AP92,AA92=AQ92,AA92=AS92),1,0)=0,AA92,IF(OR(AB92=AK92,AB92=AL92,AB92=AM92,AB92=AN92,AB92=AO92,AB92=AP92,AB92=AQ92,AB92=AS92),1,0)=0,AB92,IF(OR(AC92=AK92,AC92=AL92,AC92=AM92,AC92=AN92,AC92=AO92,AC92=AP92,AC92=AQ92,AC92=AS92),1,0)=0,AC92,IF(OR(AD92=AK92,AD92=AL92,AD92=AM92,AD92=AN92,AD92=AO92,AD92=AP92,AD92=AQ92,AD92=AS92),1,0)=0,AD92,IF(OR(AE92=AK92,AE92=AL92,AE92=AM92,AE92=AN92,AE92=AO92,AE92=AP92,AE92=AQ92,AE92=AS92),1,0)=0,AE92,IF(OR(AF92=AK92,AF92=AL92,AF92=AM92,AF92=AN92,AF92=AO92,AF92=AP92,AF92=AQ92,AF92=AS92),1,0)=0,AF92,IF(OR(AG92=AK92,AG92=AL92,AG92=AM92,AG92=AN92,AG92=AO92,AG92=AP92,AG92=AQ92,AG92=AS92),1,0)=0,AG92,IF(OR(AH92=AK92,AH92=AL92,AH92=AM92,AH92=AN92,AH92=AO92,AH92=AP92,AH92=AQ92,AH92=AS92),1,0)=0,AH92,IF(OR(AI92=AK92,AI92=AL92,AI92=AM92,AI92=AN92,AI92=AO92,AI92=AP92,AI92=AQ92,AI92=AS92),1,0)=0,AI92)</f>
        <v>#N/A</v>
      </c>
      <c r="AS92" t="e" cm="1">
        <f t="array" ref="AS92">_xlfn.IFS(VLOOKUP(AA92,$A$2:$B$1048576,2,FALSE)="DST",AA92,VLOOKUP(AB92,$A$2:$B$1048576,2,FALSE)="DST",AB92,VLOOKUP(AC92,$A$2:$B$1048576,2,FALSE)="DST",AC92,VLOOKUP(AD92,$A$2:$B$1048576,2,FALSE)="DST",AD92,VLOOKUP(AE92,$A$2:$B$1048576,2,FALSE)="DST",AE92,VLOOKUP(AF92,$A$2:$B$1048576,2,FALSE)="DST",AF92,VLOOKUP(AG92,$A$2:$B$1048576,2,FALSE)="DST",AG92,VLOOKUP(AH92,$A$2:$B$1048576,2,FALSE)="DST",AH92,VLOOKUP(AI92,$A$2:$B$1048576,2,FALSE)="DST",AI92)</f>
        <v>#N/A</v>
      </c>
    </row>
    <row r="93" spans="1:45" x14ac:dyDescent="0.35">
      <c r="A93" t="s">
        <v>116</v>
      </c>
      <c r="B93" s="11" t="s">
        <v>8</v>
      </c>
      <c r="C93" s="11">
        <v>6500</v>
      </c>
      <c r="D93" s="12">
        <v>17.80818</v>
      </c>
      <c r="E93" s="12">
        <v>19.019939262439205</v>
      </c>
      <c r="F93" s="12">
        <v>41.380674118196666</v>
      </c>
      <c r="H93" s="11">
        <v>0</v>
      </c>
      <c r="I93">
        <f>IF(B93="QB",H93*1,0)</f>
        <v>0</v>
      </c>
      <c r="J93">
        <f>IF(B93="RB",H93*1,0)</f>
        <v>0</v>
      </c>
      <c r="K93">
        <f>IF(B93="WR",H93*1,0)</f>
        <v>0</v>
      </c>
      <c r="L93">
        <f>IF(B93="TE",H93*1,0)</f>
        <v>0</v>
      </c>
      <c r="M93">
        <f>IF(B93="DST",H93*1,0)</f>
        <v>0</v>
      </c>
      <c r="X93" s="11">
        <f t="shared" si="7"/>
        <v>1</v>
      </c>
      <c r="Y93" s="9">
        <v>92</v>
      </c>
      <c r="Z93" s="12">
        <f t="shared" si="8"/>
        <v>0</v>
      </c>
      <c r="AK93" t="e" cm="1">
        <f t="array" ref="AK93">_xlfn.IFS(VLOOKUP(AA93,$A$2:$B$1048576,2,FALSE)="QB",AA93,VLOOKUP(AB93,$A$2:$B$1048576,2,FALSE)="QB",AB93,VLOOKUP(AC93,$A$2:$B$1048576,2,FALSE)="QB",AC93,VLOOKUP(AD93,$A$2:$B$1048576,2,FALSE)="QB",AD93,VLOOKUP(AE93,$A$2:$B$1048576,2,FALSE)="QB",AE93,VLOOKUP(AF93,$A$2:$B$1048576,2,FALSE)="QB",AF93,VLOOKUP(AG93,$A$2:$B$1048576,2,FALSE)="QB",AG93,VLOOKUP(AH93,$A$2:$B$1048576,2,FALSE)="QB",AH93,VLOOKUP(AI93,$A$2:$B$1048576,2,FALSE)="QB",AI93)</f>
        <v>#N/A</v>
      </c>
      <c r="AL93" t="e" cm="1">
        <f t="array" ref="AL93">_xlfn.IFS(VLOOKUP(AA93,$A$2:$B$1048576,2,FALSE)="RB",AA93,VLOOKUP(AB93,$A$2:$B$1048576,2,FALSE)="RB",AB93,VLOOKUP(AC93,$A$2:$B$1048576,2,FALSE)="RB",AC93,VLOOKUP(AD93,$A$2:$B$1048576,2,FALSE)="RB",AD93,VLOOKUP(AE93,$A$2:$B$1048576,2,FALSE)="RB",AE93,VLOOKUP(AF93,$A$2:$B$1048576,2,FALSE)="RB",AF93,VLOOKUP(AG93,$A$2:$B$1048576,2,FALSE)="RB",AG93,VLOOKUP(AH93,$A$2:$B$1048576,2,FALSE)="RB",AH93,VLOOKUP(AI93,$A$2:$B$1048576,2,FALSE)="RB",AI93)</f>
        <v>#N/A</v>
      </c>
      <c r="AM93" t="e">
        <f t="shared" si="9"/>
        <v>#N/A</v>
      </c>
      <c r="AN93" t="e" cm="1">
        <f t="array" ref="AN93">_xlfn.IFS(VLOOKUP(AA93,$A$2:$B$1048576,2,FALSE)="WR",AA93,VLOOKUP(AB93,$A$2:$B$1048576,2,FALSE)="WR",AB93,VLOOKUP(AC93,$A$2:$B$1048576,2,FALSE)="WR",AC93,VLOOKUP(AD93,$A$2:$B$1048576,2,FALSE)="WR",AD93,VLOOKUP(AE93,$A$2:$B$1048576,2,FALSE)="WR",AE93,VLOOKUP(AF93,$A$2:$B$1048576,2,FALSE)="WR",AF93,VLOOKUP(AG93,$A$2:$B$1048576,2,FALSE)="WR",AG93,VLOOKUP(AH93,$A$2:$B$1048576,2,FALSE)="WR",AH93,VLOOKUP(AI93,$A$2:$B$1048576,2,FALSE)="WR",AI93)</f>
        <v>#N/A</v>
      </c>
      <c r="AO93" t="e">
        <f t="shared" si="10"/>
        <v>#N/A</v>
      </c>
      <c r="AP93" t="e">
        <f t="shared" si="11"/>
        <v>#N/A</v>
      </c>
      <c r="AQ93" t="e" cm="1">
        <f t="array" ref="AQ93">_xlfn.IFS(VLOOKUP(AA93,$A$2:$B$1048576,2,FALSE)="TE",AA93,VLOOKUP(AB93,$A$2:$B$1048576,2,FALSE)="TE",AB93,VLOOKUP(AC93,$A$2:$B$1048576,2,FALSE)="TE",AC93,VLOOKUP(AD93,$A$2:$B$1048576,2,FALSE)="TE",AD93,VLOOKUP(AE93,$A$2:$B$1048576,2,FALSE)="TE",AE93,VLOOKUP(AF93,$A$2:$B$1048576,2,FALSE)="TE",AF93,VLOOKUP(AG93,$A$2:$B$1048576,2,FALSE)="TE",AG93,VLOOKUP(AH93,$A$2:$B$1048576,2,FALSE)="TE",AH93,VLOOKUP(AI93,$A$2:$B$1048576,2,FALSE)="TE",AI93)</f>
        <v>#N/A</v>
      </c>
      <c r="AR93" t="e" cm="1">
        <f t="array" ref="AR93">_xlfn.IFS(IF(OR(AA93=AK93,AA93=AL93,AA93=AM93,AA93=AN93,AA93=AO93,AA93=AP93,AA93=AQ93,AA93=AS93),1,0)=0,AA93,IF(OR(AB93=AK93,AB93=AL93,AB93=AM93,AB93=AN93,AB93=AO93,AB93=AP93,AB93=AQ93,AB93=AS93),1,0)=0,AB93,IF(OR(AC93=AK93,AC93=AL93,AC93=AM93,AC93=AN93,AC93=AO93,AC93=AP93,AC93=AQ93,AC93=AS93),1,0)=0,AC93,IF(OR(AD93=AK93,AD93=AL93,AD93=AM93,AD93=AN93,AD93=AO93,AD93=AP93,AD93=AQ93,AD93=AS93),1,0)=0,AD93,IF(OR(AE93=AK93,AE93=AL93,AE93=AM93,AE93=AN93,AE93=AO93,AE93=AP93,AE93=AQ93,AE93=AS93),1,0)=0,AE93,IF(OR(AF93=AK93,AF93=AL93,AF93=AM93,AF93=AN93,AF93=AO93,AF93=AP93,AF93=AQ93,AF93=AS93),1,0)=0,AF93,IF(OR(AG93=AK93,AG93=AL93,AG93=AM93,AG93=AN93,AG93=AO93,AG93=AP93,AG93=AQ93,AG93=AS93),1,0)=0,AG93,IF(OR(AH93=AK93,AH93=AL93,AH93=AM93,AH93=AN93,AH93=AO93,AH93=AP93,AH93=AQ93,AH93=AS93),1,0)=0,AH93,IF(OR(AI93=AK93,AI93=AL93,AI93=AM93,AI93=AN93,AI93=AO93,AI93=AP93,AI93=AQ93,AI93=AS93),1,0)=0,AI93)</f>
        <v>#N/A</v>
      </c>
      <c r="AS93" t="e" cm="1">
        <f t="array" ref="AS93">_xlfn.IFS(VLOOKUP(AA93,$A$2:$B$1048576,2,FALSE)="DST",AA93,VLOOKUP(AB93,$A$2:$B$1048576,2,FALSE)="DST",AB93,VLOOKUP(AC93,$A$2:$B$1048576,2,FALSE)="DST",AC93,VLOOKUP(AD93,$A$2:$B$1048576,2,FALSE)="DST",AD93,VLOOKUP(AE93,$A$2:$B$1048576,2,FALSE)="DST",AE93,VLOOKUP(AF93,$A$2:$B$1048576,2,FALSE)="DST",AF93,VLOOKUP(AG93,$A$2:$B$1048576,2,FALSE)="DST",AG93,VLOOKUP(AH93,$A$2:$B$1048576,2,FALSE)="DST",AH93,VLOOKUP(AI93,$A$2:$B$1048576,2,FALSE)="DST",AI93)</f>
        <v>#N/A</v>
      </c>
    </row>
    <row r="94" spans="1:45" x14ac:dyDescent="0.35">
      <c r="A94" t="s">
        <v>117</v>
      </c>
      <c r="B94" s="11" t="s">
        <v>8</v>
      </c>
      <c r="C94" s="11">
        <v>6900</v>
      </c>
      <c r="D94" s="12">
        <v>17.504846666666669</v>
      </c>
      <c r="E94" s="12">
        <v>20.24944877208122</v>
      </c>
      <c r="F94" s="12">
        <v>40.397752031661391</v>
      </c>
      <c r="H94" s="11">
        <v>0</v>
      </c>
      <c r="I94">
        <f>IF(B94="QB",H94*1,0)</f>
        <v>0</v>
      </c>
      <c r="J94">
        <f>IF(B94="RB",H94*1,0)</f>
        <v>0</v>
      </c>
      <c r="K94">
        <f>IF(B94="WR",H94*1,0)</f>
        <v>0</v>
      </c>
      <c r="L94">
        <f>IF(B94="TE",H94*1,0)</f>
        <v>0</v>
      </c>
      <c r="M94">
        <f>IF(B94="DST",H94*1,0)</f>
        <v>0</v>
      </c>
      <c r="X94" s="11">
        <f t="shared" si="7"/>
        <v>1</v>
      </c>
      <c r="Y94" s="9">
        <v>93</v>
      </c>
      <c r="Z94" s="12">
        <f t="shared" si="8"/>
        <v>0</v>
      </c>
      <c r="AK94" t="e" cm="1">
        <f t="array" ref="AK94">_xlfn.IFS(VLOOKUP(AA94,$A$2:$B$1048576,2,FALSE)="QB",AA94,VLOOKUP(AB94,$A$2:$B$1048576,2,FALSE)="QB",AB94,VLOOKUP(AC94,$A$2:$B$1048576,2,FALSE)="QB",AC94,VLOOKUP(AD94,$A$2:$B$1048576,2,FALSE)="QB",AD94,VLOOKUP(AE94,$A$2:$B$1048576,2,FALSE)="QB",AE94,VLOOKUP(AF94,$A$2:$B$1048576,2,FALSE)="QB",AF94,VLOOKUP(AG94,$A$2:$B$1048576,2,FALSE)="QB",AG94,VLOOKUP(AH94,$A$2:$B$1048576,2,FALSE)="QB",AH94,VLOOKUP(AI94,$A$2:$B$1048576,2,FALSE)="QB",AI94)</f>
        <v>#N/A</v>
      </c>
      <c r="AL94" t="e" cm="1">
        <f t="array" ref="AL94">_xlfn.IFS(VLOOKUP(AA94,$A$2:$B$1048576,2,FALSE)="RB",AA94,VLOOKUP(AB94,$A$2:$B$1048576,2,FALSE)="RB",AB94,VLOOKUP(AC94,$A$2:$B$1048576,2,FALSE)="RB",AC94,VLOOKUP(AD94,$A$2:$B$1048576,2,FALSE)="RB",AD94,VLOOKUP(AE94,$A$2:$B$1048576,2,FALSE)="RB",AE94,VLOOKUP(AF94,$A$2:$B$1048576,2,FALSE)="RB",AF94,VLOOKUP(AG94,$A$2:$B$1048576,2,FALSE)="RB",AG94,VLOOKUP(AH94,$A$2:$B$1048576,2,FALSE)="RB",AH94,VLOOKUP(AI94,$A$2:$B$1048576,2,FALSE)="RB",AI94)</f>
        <v>#N/A</v>
      </c>
      <c r="AM94" t="e">
        <f t="shared" si="9"/>
        <v>#N/A</v>
      </c>
      <c r="AN94" t="e" cm="1">
        <f t="array" ref="AN94">_xlfn.IFS(VLOOKUP(AA94,$A$2:$B$1048576,2,FALSE)="WR",AA94,VLOOKUP(AB94,$A$2:$B$1048576,2,FALSE)="WR",AB94,VLOOKUP(AC94,$A$2:$B$1048576,2,FALSE)="WR",AC94,VLOOKUP(AD94,$A$2:$B$1048576,2,FALSE)="WR",AD94,VLOOKUP(AE94,$A$2:$B$1048576,2,FALSE)="WR",AE94,VLOOKUP(AF94,$A$2:$B$1048576,2,FALSE)="WR",AF94,VLOOKUP(AG94,$A$2:$B$1048576,2,FALSE)="WR",AG94,VLOOKUP(AH94,$A$2:$B$1048576,2,FALSE)="WR",AH94,VLOOKUP(AI94,$A$2:$B$1048576,2,FALSE)="WR",AI94)</f>
        <v>#N/A</v>
      </c>
      <c r="AO94" t="e">
        <f t="shared" si="10"/>
        <v>#N/A</v>
      </c>
      <c r="AP94" t="e">
        <f t="shared" si="11"/>
        <v>#N/A</v>
      </c>
      <c r="AQ94" t="e" cm="1">
        <f t="array" ref="AQ94">_xlfn.IFS(VLOOKUP(AA94,$A$2:$B$1048576,2,FALSE)="TE",AA94,VLOOKUP(AB94,$A$2:$B$1048576,2,FALSE)="TE",AB94,VLOOKUP(AC94,$A$2:$B$1048576,2,FALSE)="TE",AC94,VLOOKUP(AD94,$A$2:$B$1048576,2,FALSE)="TE",AD94,VLOOKUP(AE94,$A$2:$B$1048576,2,FALSE)="TE",AE94,VLOOKUP(AF94,$A$2:$B$1048576,2,FALSE)="TE",AF94,VLOOKUP(AG94,$A$2:$B$1048576,2,FALSE)="TE",AG94,VLOOKUP(AH94,$A$2:$B$1048576,2,FALSE)="TE",AH94,VLOOKUP(AI94,$A$2:$B$1048576,2,FALSE)="TE",AI94)</f>
        <v>#N/A</v>
      </c>
      <c r="AR94" t="e" cm="1">
        <f t="array" ref="AR94">_xlfn.IFS(IF(OR(AA94=AK94,AA94=AL94,AA94=AM94,AA94=AN94,AA94=AO94,AA94=AP94,AA94=AQ94,AA94=AS94),1,0)=0,AA94,IF(OR(AB94=AK94,AB94=AL94,AB94=AM94,AB94=AN94,AB94=AO94,AB94=AP94,AB94=AQ94,AB94=AS94),1,0)=0,AB94,IF(OR(AC94=AK94,AC94=AL94,AC94=AM94,AC94=AN94,AC94=AO94,AC94=AP94,AC94=AQ94,AC94=AS94),1,0)=0,AC94,IF(OR(AD94=AK94,AD94=AL94,AD94=AM94,AD94=AN94,AD94=AO94,AD94=AP94,AD94=AQ94,AD94=AS94),1,0)=0,AD94,IF(OR(AE94=AK94,AE94=AL94,AE94=AM94,AE94=AN94,AE94=AO94,AE94=AP94,AE94=AQ94,AE94=AS94),1,0)=0,AE94,IF(OR(AF94=AK94,AF94=AL94,AF94=AM94,AF94=AN94,AF94=AO94,AF94=AP94,AF94=AQ94,AF94=AS94),1,0)=0,AF94,IF(OR(AG94=AK94,AG94=AL94,AG94=AM94,AG94=AN94,AG94=AO94,AG94=AP94,AG94=AQ94,AG94=AS94),1,0)=0,AG94,IF(OR(AH94=AK94,AH94=AL94,AH94=AM94,AH94=AN94,AH94=AO94,AH94=AP94,AH94=AQ94,AH94=AS94),1,0)=0,AH94,IF(OR(AI94=AK94,AI94=AL94,AI94=AM94,AI94=AN94,AI94=AO94,AI94=AP94,AI94=AQ94,AI94=AS94),1,0)=0,AI94)</f>
        <v>#N/A</v>
      </c>
      <c r="AS94" t="e" cm="1">
        <f t="array" ref="AS94">_xlfn.IFS(VLOOKUP(AA94,$A$2:$B$1048576,2,FALSE)="DST",AA94,VLOOKUP(AB94,$A$2:$B$1048576,2,FALSE)="DST",AB94,VLOOKUP(AC94,$A$2:$B$1048576,2,FALSE)="DST",AC94,VLOOKUP(AD94,$A$2:$B$1048576,2,FALSE)="DST",AD94,VLOOKUP(AE94,$A$2:$B$1048576,2,FALSE)="DST",AE94,VLOOKUP(AF94,$A$2:$B$1048576,2,FALSE)="DST",AF94,VLOOKUP(AG94,$A$2:$B$1048576,2,FALSE)="DST",AG94,VLOOKUP(AH94,$A$2:$B$1048576,2,FALSE)="DST",AH94,VLOOKUP(AI94,$A$2:$B$1048576,2,FALSE)="DST",AI94)</f>
        <v>#N/A</v>
      </c>
    </row>
    <row r="95" spans="1:45" x14ac:dyDescent="0.35">
      <c r="A95" t="s">
        <v>118</v>
      </c>
      <c r="B95" s="11" t="s">
        <v>8</v>
      </c>
      <c r="C95" s="11">
        <v>6200</v>
      </c>
      <c r="D95" s="12">
        <v>16.470680000000002</v>
      </c>
      <c r="E95" s="12">
        <v>16.974950883816827</v>
      </c>
      <c r="F95" s="12">
        <v>37.344933130132269</v>
      </c>
      <c r="H95" s="11">
        <v>0</v>
      </c>
      <c r="I95">
        <f>IF(B95="QB",H95*1,0)</f>
        <v>0</v>
      </c>
      <c r="J95">
        <f>IF(B95="RB",H95*1,0)</f>
        <v>0</v>
      </c>
      <c r="K95">
        <f>IF(B95="WR",H95*1,0)</f>
        <v>0</v>
      </c>
      <c r="L95">
        <f>IF(B95="TE",H95*1,0)</f>
        <v>0</v>
      </c>
      <c r="M95">
        <f>IF(B95="DST",H95*1,0)</f>
        <v>0</v>
      </c>
      <c r="X95" s="11">
        <f t="shared" si="7"/>
        <v>1</v>
      </c>
      <c r="Y95" s="9">
        <v>94</v>
      </c>
      <c r="Z95" s="12">
        <f t="shared" si="8"/>
        <v>0</v>
      </c>
      <c r="AK95" t="e" cm="1">
        <f t="array" ref="AK95">_xlfn.IFS(VLOOKUP(AA95,$A$2:$B$1048576,2,FALSE)="QB",AA95,VLOOKUP(AB95,$A$2:$B$1048576,2,FALSE)="QB",AB95,VLOOKUP(AC95,$A$2:$B$1048576,2,FALSE)="QB",AC95,VLOOKUP(AD95,$A$2:$B$1048576,2,FALSE)="QB",AD95,VLOOKUP(AE95,$A$2:$B$1048576,2,FALSE)="QB",AE95,VLOOKUP(AF95,$A$2:$B$1048576,2,FALSE)="QB",AF95,VLOOKUP(AG95,$A$2:$B$1048576,2,FALSE)="QB",AG95,VLOOKUP(AH95,$A$2:$B$1048576,2,FALSE)="QB",AH95,VLOOKUP(AI95,$A$2:$B$1048576,2,FALSE)="QB",AI95)</f>
        <v>#N/A</v>
      </c>
      <c r="AL95" t="e" cm="1">
        <f t="array" ref="AL95">_xlfn.IFS(VLOOKUP(AA95,$A$2:$B$1048576,2,FALSE)="RB",AA95,VLOOKUP(AB95,$A$2:$B$1048576,2,FALSE)="RB",AB95,VLOOKUP(AC95,$A$2:$B$1048576,2,FALSE)="RB",AC95,VLOOKUP(AD95,$A$2:$B$1048576,2,FALSE)="RB",AD95,VLOOKUP(AE95,$A$2:$B$1048576,2,FALSE)="RB",AE95,VLOOKUP(AF95,$A$2:$B$1048576,2,FALSE)="RB",AF95,VLOOKUP(AG95,$A$2:$B$1048576,2,FALSE)="RB",AG95,VLOOKUP(AH95,$A$2:$B$1048576,2,FALSE)="RB",AH95,VLOOKUP(AI95,$A$2:$B$1048576,2,FALSE)="RB",AI95)</f>
        <v>#N/A</v>
      </c>
      <c r="AM95" t="e">
        <f t="shared" si="9"/>
        <v>#N/A</v>
      </c>
      <c r="AN95" t="e" cm="1">
        <f t="array" ref="AN95">_xlfn.IFS(VLOOKUP(AA95,$A$2:$B$1048576,2,FALSE)="WR",AA95,VLOOKUP(AB95,$A$2:$B$1048576,2,FALSE)="WR",AB95,VLOOKUP(AC95,$A$2:$B$1048576,2,FALSE)="WR",AC95,VLOOKUP(AD95,$A$2:$B$1048576,2,FALSE)="WR",AD95,VLOOKUP(AE95,$A$2:$B$1048576,2,FALSE)="WR",AE95,VLOOKUP(AF95,$A$2:$B$1048576,2,FALSE)="WR",AF95,VLOOKUP(AG95,$A$2:$B$1048576,2,FALSE)="WR",AG95,VLOOKUP(AH95,$A$2:$B$1048576,2,FALSE)="WR",AH95,VLOOKUP(AI95,$A$2:$B$1048576,2,FALSE)="WR",AI95)</f>
        <v>#N/A</v>
      </c>
      <c r="AO95" t="e">
        <f t="shared" si="10"/>
        <v>#N/A</v>
      </c>
      <c r="AP95" t="e">
        <f t="shared" si="11"/>
        <v>#N/A</v>
      </c>
      <c r="AQ95" t="e" cm="1">
        <f t="array" ref="AQ95">_xlfn.IFS(VLOOKUP(AA95,$A$2:$B$1048576,2,FALSE)="TE",AA95,VLOOKUP(AB95,$A$2:$B$1048576,2,FALSE)="TE",AB95,VLOOKUP(AC95,$A$2:$B$1048576,2,FALSE)="TE",AC95,VLOOKUP(AD95,$A$2:$B$1048576,2,FALSE)="TE",AD95,VLOOKUP(AE95,$A$2:$B$1048576,2,FALSE)="TE",AE95,VLOOKUP(AF95,$A$2:$B$1048576,2,FALSE)="TE",AF95,VLOOKUP(AG95,$A$2:$B$1048576,2,FALSE)="TE",AG95,VLOOKUP(AH95,$A$2:$B$1048576,2,FALSE)="TE",AH95,VLOOKUP(AI95,$A$2:$B$1048576,2,FALSE)="TE",AI95)</f>
        <v>#N/A</v>
      </c>
      <c r="AR95" t="e" cm="1">
        <f t="array" ref="AR95">_xlfn.IFS(IF(OR(AA95=AK95,AA95=AL95,AA95=AM95,AA95=AN95,AA95=AO95,AA95=AP95,AA95=AQ95,AA95=AS95),1,0)=0,AA95,IF(OR(AB95=AK95,AB95=AL95,AB95=AM95,AB95=AN95,AB95=AO95,AB95=AP95,AB95=AQ95,AB95=AS95),1,0)=0,AB95,IF(OR(AC95=AK95,AC95=AL95,AC95=AM95,AC95=AN95,AC95=AO95,AC95=AP95,AC95=AQ95,AC95=AS95),1,0)=0,AC95,IF(OR(AD95=AK95,AD95=AL95,AD95=AM95,AD95=AN95,AD95=AO95,AD95=AP95,AD95=AQ95,AD95=AS95),1,0)=0,AD95,IF(OR(AE95=AK95,AE95=AL95,AE95=AM95,AE95=AN95,AE95=AO95,AE95=AP95,AE95=AQ95,AE95=AS95),1,0)=0,AE95,IF(OR(AF95=AK95,AF95=AL95,AF95=AM95,AF95=AN95,AF95=AO95,AF95=AP95,AF95=AQ95,AF95=AS95),1,0)=0,AF95,IF(OR(AG95=AK95,AG95=AL95,AG95=AM95,AG95=AN95,AG95=AO95,AG95=AP95,AG95=AQ95,AG95=AS95),1,0)=0,AG95,IF(OR(AH95=AK95,AH95=AL95,AH95=AM95,AH95=AN95,AH95=AO95,AH95=AP95,AH95=AQ95,AH95=AS95),1,0)=0,AH95,IF(OR(AI95=AK95,AI95=AL95,AI95=AM95,AI95=AN95,AI95=AO95,AI95=AP95,AI95=AQ95,AI95=AS95),1,0)=0,AI95)</f>
        <v>#N/A</v>
      </c>
      <c r="AS95" t="e" cm="1">
        <f t="array" ref="AS95">_xlfn.IFS(VLOOKUP(AA95,$A$2:$B$1048576,2,FALSE)="DST",AA95,VLOOKUP(AB95,$A$2:$B$1048576,2,FALSE)="DST",AB95,VLOOKUP(AC95,$A$2:$B$1048576,2,FALSE)="DST",AC95,VLOOKUP(AD95,$A$2:$B$1048576,2,FALSE)="DST",AD95,VLOOKUP(AE95,$A$2:$B$1048576,2,FALSE)="DST",AE95,VLOOKUP(AF95,$A$2:$B$1048576,2,FALSE)="DST",AF95,VLOOKUP(AG95,$A$2:$B$1048576,2,FALSE)="DST",AG95,VLOOKUP(AH95,$A$2:$B$1048576,2,FALSE)="DST",AH95,VLOOKUP(AI95,$A$2:$B$1048576,2,FALSE)="DST",AI95)</f>
        <v>#N/A</v>
      </c>
    </row>
    <row r="96" spans="1:45" x14ac:dyDescent="0.35">
      <c r="A96" t="s">
        <v>119</v>
      </c>
      <c r="B96" s="11" t="s">
        <v>8</v>
      </c>
      <c r="C96" s="11">
        <v>6100</v>
      </c>
      <c r="D96" s="12">
        <v>16.39484666666667</v>
      </c>
      <c r="E96" s="12">
        <v>16.50424640267045</v>
      </c>
      <c r="F96" s="12">
        <v>37.128218998564158</v>
      </c>
      <c r="H96" s="11">
        <v>0</v>
      </c>
      <c r="I96">
        <f>IF(B96="QB",H96*1,0)</f>
        <v>0</v>
      </c>
      <c r="J96">
        <f>IF(B96="RB",H96*1,0)</f>
        <v>0</v>
      </c>
      <c r="K96">
        <f>IF(B96="WR",H96*1,0)</f>
        <v>0</v>
      </c>
      <c r="L96">
        <f>IF(B96="TE",H96*1,0)</f>
        <v>0</v>
      </c>
      <c r="M96">
        <f>IF(B96="DST",H96*1,0)</f>
        <v>0</v>
      </c>
      <c r="X96" s="11">
        <f t="shared" si="7"/>
        <v>1</v>
      </c>
      <c r="Y96" s="9">
        <v>95</v>
      </c>
      <c r="Z96" s="12">
        <f t="shared" si="8"/>
        <v>0</v>
      </c>
      <c r="AK96" t="e" cm="1">
        <f t="array" ref="AK96">_xlfn.IFS(VLOOKUP(AA96,$A$2:$B$1048576,2,FALSE)="QB",AA96,VLOOKUP(AB96,$A$2:$B$1048576,2,FALSE)="QB",AB96,VLOOKUP(AC96,$A$2:$B$1048576,2,FALSE)="QB",AC96,VLOOKUP(AD96,$A$2:$B$1048576,2,FALSE)="QB",AD96,VLOOKUP(AE96,$A$2:$B$1048576,2,FALSE)="QB",AE96,VLOOKUP(AF96,$A$2:$B$1048576,2,FALSE)="QB",AF96,VLOOKUP(AG96,$A$2:$B$1048576,2,FALSE)="QB",AG96,VLOOKUP(AH96,$A$2:$B$1048576,2,FALSE)="QB",AH96,VLOOKUP(AI96,$A$2:$B$1048576,2,FALSE)="QB",AI96)</f>
        <v>#N/A</v>
      </c>
      <c r="AL96" t="e" cm="1">
        <f t="array" ref="AL96">_xlfn.IFS(VLOOKUP(AA96,$A$2:$B$1048576,2,FALSE)="RB",AA96,VLOOKUP(AB96,$A$2:$B$1048576,2,FALSE)="RB",AB96,VLOOKUP(AC96,$A$2:$B$1048576,2,FALSE)="RB",AC96,VLOOKUP(AD96,$A$2:$B$1048576,2,FALSE)="RB",AD96,VLOOKUP(AE96,$A$2:$B$1048576,2,FALSE)="RB",AE96,VLOOKUP(AF96,$A$2:$B$1048576,2,FALSE)="RB",AF96,VLOOKUP(AG96,$A$2:$B$1048576,2,FALSE)="RB",AG96,VLOOKUP(AH96,$A$2:$B$1048576,2,FALSE)="RB",AH96,VLOOKUP(AI96,$A$2:$B$1048576,2,FALSE)="RB",AI96)</f>
        <v>#N/A</v>
      </c>
      <c r="AM96" t="e">
        <f t="shared" si="9"/>
        <v>#N/A</v>
      </c>
      <c r="AN96" t="e" cm="1">
        <f t="array" ref="AN96">_xlfn.IFS(VLOOKUP(AA96,$A$2:$B$1048576,2,FALSE)="WR",AA96,VLOOKUP(AB96,$A$2:$B$1048576,2,FALSE)="WR",AB96,VLOOKUP(AC96,$A$2:$B$1048576,2,FALSE)="WR",AC96,VLOOKUP(AD96,$A$2:$B$1048576,2,FALSE)="WR",AD96,VLOOKUP(AE96,$A$2:$B$1048576,2,FALSE)="WR",AE96,VLOOKUP(AF96,$A$2:$B$1048576,2,FALSE)="WR",AF96,VLOOKUP(AG96,$A$2:$B$1048576,2,FALSE)="WR",AG96,VLOOKUP(AH96,$A$2:$B$1048576,2,FALSE)="WR",AH96,VLOOKUP(AI96,$A$2:$B$1048576,2,FALSE)="WR",AI96)</f>
        <v>#N/A</v>
      </c>
      <c r="AO96" t="e">
        <f t="shared" si="10"/>
        <v>#N/A</v>
      </c>
      <c r="AP96" t="e">
        <f t="shared" si="11"/>
        <v>#N/A</v>
      </c>
      <c r="AQ96" t="e" cm="1">
        <f t="array" ref="AQ96">_xlfn.IFS(VLOOKUP(AA96,$A$2:$B$1048576,2,FALSE)="TE",AA96,VLOOKUP(AB96,$A$2:$B$1048576,2,FALSE)="TE",AB96,VLOOKUP(AC96,$A$2:$B$1048576,2,FALSE)="TE",AC96,VLOOKUP(AD96,$A$2:$B$1048576,2,FALSE)="TE",AD96,VLOOKUP(AE96,$A$2:$B$1048576,2,FALSE)="TE",AE96,VLOOKUP(AF96,$A$2:$B$1048576,2,FALSE)="TE",AF96,VLOOKUP(AG96,$A$2:$B$1048576,2,FALSE)="TE",AG96,VLOOKUP(AH96,$A$2:$B$1048576,2,FALSE)="TE",AH96,VLOOKUP(AI96,$A$2:$B$1048576,2,FALSE)="TE",AI96)</f>
        <v>#N/A</v>
      </c>
      <c r="AR96" t="e" cm="1">
        <f t="array" ref="AR96">_xlfn.IFS(IF(OR(AA96=AK96,AA96=AL96,AA96=AM96,AA96=AN96,AA96=AO96,AA96=AP96,AA96=AQ96,AA96=AS96),1,0)=0,AA96,IF(OR(AB96=AK96,AB96=AL96,AB96=AM96,AB96=AN96,AB96=AO96,AB96=AP96,AB96=AQ96,AB96=AS96),1,0)=0,AB96,IF(OR(AC96=AK96,AC96=AL96,AC96=AM96,AC96=AN96,AC96=AO96,AC96=AP96,AC96=AQ96,AC96=AS96),1,0)=0,AC96,IF(OR(AD96=AK96,AD96=AL96,AD96=AM96,AD96=AN96,AD96=AO96,AD96=AP96,AD96=AQ96,AD96=AS96),1,0)=0,AD96,IF(OR(AE96=AK96,AE96=AL96,AE96=AM96,AE96=AN96,AE96=AO96,AE96=AP96,AE96=AQ96,AE96=AS96),1,0)=0,AE96,IF(OR(AF96=AK96,AF96=AL96,AF96=AM96,AF96=AN96,AF96=AO96,AF96=AP96,AF96=AQ96,AF96=AS96),1,0)=0,AF96,IF(OR(AG96=AK96,AG96=AL96,AG96=AM96,AG96=AN96,AG96=AO96,AG96=AP96,AG96=AQ96,AG96=AS96),1,0)=0,AG96,IF(OR(AH96=AK96,AH96=AL96,AH96=AM96,AH96=AN96,AH96=AO96,AH96=AP96,AH96=AQ96,AH96=AS96),1,0)=0,AH96,IF(OR(AI96=AK96,AI96=AL96,AI96=AM96,AI96=AN96,AI96=AO96,AI96=AP96,AI96=AQ96,AI96=AS96),1,0)=0,AI96)</f>
        <v>#N/A</v>
      </c>
      <c r="AS96" t="e" cm="1">
        <f t="array" ref="AS96">_xlfn.IFS(VLOOKUP(AA96,$A$2:$B$1048576,2,FALSE)="DST",AA96,VLOOKUP(AB96,$A$2:$B$1048576,2,FALSE)="DST",AB96,VLOOKUP(AC96,$A$2:$B$1048576,2,FALSE)="DST",AC96,VLOOKUP(AD96,$A$2:$B$1048576,2,FALSE)="DST",AD96,VLOOKUP(AE96,$A$2:$B$1048576,2,FALSE)="DST",AE96,VLOOKUP(AF96,$A$2:$B$1048576,2,FALSE)="DST",AF96,VLOOKUP(AG96,$A$2:$B$1048576,2,FALSE)="DST",AG96,VLOOKUP(AH96,$A$2:$B$1048576,2,FALSE)="DST",AH96,VLOOKUP(AI96,$A$2:$B$1048576,2,FALSE)="DST",AI96)</f>
        <v>#N/A</v>
      </c>
    </row>
    <row r="97" spans="1:45" x14ac:dyDescent="0.35">
      <c r="A97" t="s">
        <v>120</v>
      </c>
      <c r="B97" s="11" t="s">
        <v>8</v>
      </c>
      <c r="C97" s="11">
        <v>4800</v>
      </c>
      <c r="D97" s="12">
        <v>11.884846666666668</v>
      </c>
      <c r="E97" s="12">
        <v>14.014000861793463</v>
      </c>
      <c r="F97" s="12">
        <v>23.57800540685583</v>
      </c>
      <c r="H97" s="11">
        <v>0</v>
      </c>
      <c r="I97">
        <f>IF(B97="QB",H97*1,0)</f>
        <v>0</v>
      </c>
      <c r="J97">
        <f>IF(B97="RB",H97*1,0)</f>
        <v>0</v>
      </c>
      <c r="K97">
        <f>IF(B97="WR",H97*1,0)</f>
        <v>0</v>
      </c>
      <c r="L97">
        <f>IF(B97="TE",H97*1,0)</f>
        <v>0</v>
      </c>
      <c r="M97">
        <f>IF(B97="DST",H97*1,0)</f>
        <v>0</v>
      </c>
      <c r="X97" s="11">
        <f t="shared" si="7"/>
        <v>1</v>
      </c>
      <c r="Y97" s="9">
        <v>96</v>
      </c>
      <c r="Z97" s="12">
        <f t="shared" si="8"/>
        <v>0</v>
      </c>
      <c r="AK97" t="e" cm="1">
        <f t="array" ref="AK97">_xlfn.IFS(VLOOKUP(AA97,$A$2:$B$1048576,2,FALSE)="QB",AA97,VLOOKUP(AB97,$A$2:$B$1048576,2,FALSE)="QB",AB97,VLOOKUP(AC97,$A$2:$B$1048576,2,FALSE)="QB",AC97,VLOOKUP(AD97,$A$2:$B$1048576,2,FALSE)="QB",AD97,VLOOKUP(AE97,$A$2:$B$1048576,2,FALSE)="QB",AE97,VLOOKUP(AF97,$A$2:$B$1048576,2,FALSE)="QB",AF97,VLOOKUP(AG97,$A$2:$B$1048576,2,FALSE)="QB",AG97,VLOOKUP(AH97,$A$2:$B$1048576,2,FALSE)="QB",AH97,VLOOKUP(AI97,$A$2:$B$1048576,2,FALSE)="QB",AI97)</f>
        <v>#N/A</v>
      </c>
      <c r="AL97" t="e" cm="1">
        <f t="array" ref="AL97">_xlfn.IFS(VLOOKUP(AA97,$A$2:$B$1048576,2,FALSE)="RB",AA97,VLOOKUP(AB97,$A$2:$B$1048576,2,FALSE)="RB",AB97,VLOOKUP(AC97,$A$2:$B$1048576,2,FALSE)="RB",AC97,VLOOKUP(AD97,$A$2:$B$1048576,2,FALSE)="RB",AD97,VLOOKUP(AE97,$A$2:$B$1048576,2,FALSE)="RB",AE97,VLOOKUP(AF97,$A$2:$B$1048576,2,FALSE)="RB",AF97,VLOOKUP(AG97,$A$2:$B$1048576,2,FALSE)="RB",AG97,VLOOKUP(AH97,$A$2:$B$1048576,2,FALSE)="RB",AH97,VLOOKUP(AI97,$A$2:$B$1048576,2,FALSE)="RB",AI97)</f>
        <v>#N/A</v>
      </c>
      <c r="AM97" t="e">
        <f t="shared" si="9"/>
        <v>#N/A</v>
      </c>
      <c r="AN97" t="e" cm="1">
        <f t="array" ref="AN97">_xlfn.IFS(VLOOKUP(AA97,$A$2:$B$1048576,2,FALSE)="WR",AA97,VLOOKUP(AB97,$A$2:$B$1048576,2,FALSE)="WR",AB97,VLOOKUP(AC97,$A$2:$B$1048576,2,FALSE)="WR",AC97,VLOOKUP(AD97,$A$2:$B$1048576,2,FALSE)="WR",AD97,VLOOKUP(AE97,$A$2:$B$1048576,2,FALSE)="WR",AE97,VLOOKUP(AF97,$A$2:$B$1048576,2,FALSE)="WR",AF97,VLOOKUP(AG97,$A$2:$B$1048576,2,FALSE)="WR",AG97,VLOOKUP(AH97,$A$2:$B$1048576,2,FALSE)="WR",AH97,VLOOKUP(AI97,$A$2:$B$1048576,2,FALSE)="WR",AI97)</f>
        <v>#N/A</v>
      </c>
      <c r="AO97" t="e">
        <f t="shared" si="10"/>
        <v>#N/A</v>
      </c>
      <c r="AP97" t="e">
        <f t="shared" si="11"/>
        <v>#N/A</v>
      </c>
      <c r="AQ97" t="e" cm="1">
        <f t="array" ref="AQ97">_xlfn.IFS(VLOOKUP(AA97,$A$2:$B$1048576,2,FALSE)="TE",AA97,VLOOKUP(AB97,$A$2:$B$1048576,2,FALSE)="TE",AB97,VLOOKUP(AC97,$A$2:$B$1048576,2,FALSE)="TE",AC97,VLOOKUP(AD97,$A$2:$B$1048576,2,FALSE)="TE",AD97,VLOOKUP(AE97,$A$2:$B$1048576,2,FALSE)="TE",AE97,VLOOKUP(AF97,$A$2:$B$1048576,2,FALSE)="TE",AF97,VLOOKUP(AG97,$A$2:$B$1048576,2,FALSE)="TE",AG97,VLOOKUP(AH97,$A$2:$B$1048576,2,FALSE)="TE",AH97,VLOOKUP(AI97,$A$2:$B$1048576,2,FALSE)="TE",AI97)</f>
        <v>#N/A</v>
      </c>
      <c r="AR97" t="e" cm="1">
        <f t="array" ref="AR97">_xlfn.IFS(IF(OR(AA97=AK97,AA97=AL97,AA97=AM97,AA97=AN97,AA97=AO97,AA97=AP97,AA97=AQ97,AA97=AS97),1,0)=0,AA97,IF(OR(AB97=AK97,AB97=AL97,AB97=AM97,AB97=AN97,AB97=AO97,AB97=AP97,AB97=AQ97,AB97=AS97),1,0)=0,AB97,IF(OR(AC97=AK97,AC97=AL97,AC97=AM97,AC97=AN97,AC97=AO97,AC97=AP97,AC97=AQ97,AC97=AS97),1,0)=0,AC97,IF(OR(AD97=AK97,AD97=AL97,AD97=AM97,AD97=AN97,AD97=AO97,AD97=AP97,AD97=AQ97,AD97=AS97),1,0)=0,AD97,IF(OR(AE97=AK97,AE97=AL97,AE97=AM97,AE97=AN97,AE97=AO97,AE97=AP97,AE97=AQ97,AE97=AS97),1,0)=0,AE97,IF(OR(AF97=AK97,AF97=AL97,AF97=AM97,AF97=AN97,AF97=AO97,AF97=AP97,AF97=AQ97,AF97=AS97),1,0)=0,AF97,IF(OR(AG97=AK97,AG97=AL97,AG97=AM97,AG97=AN97,AG97=AO97,AG97=AP97,AG97=AQ97,AG97=AS97),1,0)=0,AG97,IF(OR(AH97=AK97,AH97=AL97,AH97=AM97,AH97=AN97,AH97=AO97,AH97=AP97,AH97=AQ97,AH97=AS97),1,0)=0,AH97,IF(OR(AI97=AK97,AI97=AL97,AI97=AM97,AI97=AN97,AI97=AO97,AI97=AP97,AI97=AQ97,AI97=AS97),1,0)=0,AI97)</f>
        <v>#N/A</v>
      </c>
      <c r="AS97" t="e" cm="1">
        <f t="array" ref="AS97">_xlfn.IFS(VLOOKUP(AA97,$A$2:$B$1048576,2,FALSE)="DST",AA97,VLOOKUP(AB97,$A$2:$B$1048576,2,FALSE)="DST",AB97,VLOOKUP(AC97,$A$2:$B$1048576,2,FALSE)="DST",AC97,VLOOKUP(AD97,$A$2:$B$1048576,2,FALSE)="DST",AD97,VLOOKUP(AE97,$A$2:$B$1048576,2,FALSE)="DST",AE97,VLOOKUP(AF97,$A$2:$B$1048576,2,FALSE)="DST",AF97,VLOOKUP(AG97,$A$2:$B$1048576,2,FALSE)="DST",AG97,VLOOKUP(AH97,$A$2:$B$1048576,2,FALSE)="DST",AH97,VLOOKUP(AI97,$A$2:$B$1048576,2,FALSE)="DST",AI97)</f>
        <v>#N/A</v>
      </c>
    </row>
    <row r="98" spans="1:45" x14ac:dyDescent="0.35">
      <c r="A98" t="s">
        <v>121</v>
      </c>
      <c r="B98" s="11" t="s">
        <v>8</v>
      </c>
      <c r="C98" s="11">
        <v>5900</v>
      </c>
      <c r="D98" s="12">
        <v>15.473180000000003</v>
      </c>
      <c r="E98" s="12">
        <v>15.538558831926641</v>
      </c>
      <c r="F98" s="12">
        <v>34.347886437278817</v>
      </c>
      <c r="H98" s="11">
        <v>0</v>
      </c>
      <c r="I98">
        <f>IF(B98="QB",H98*1,0)</f>
        <v>0</v>
      </c>
      <c r="J98">
        <f>IF(B98="RB",H98*1,0)</f>
        <v>0</v>
      </c>
      <c r="K98">
        <f>IF(B98="WR",H98*1,0)</f>
        <v>0</v>
      </c>
      <c r="L98">
        <f>IF(B98="TE",H98*1,0)</f>
        <v>0</v>
      </c>
      <c r="M98">
        <f>IF(B98="DST",H98*1,0)</f>
        <v>0</v>
      </c>
      <c r="X98" s="11">
        <f t="shared" si="7"/>
        <v>1</v>
      </c>
      <c r="Y98" s="9">
        <v>97</v>
      </c>
      <c r="Z98" s="12">
        <f t="shared" si="8"/>
        <v>0</v>
      </c>
      <c r="AK98" t="e" cm="1">
        <f t="array" ref="AK98">_xlfn.IFS(VLOOKUP(AA98,$A$2:$B$1048576,2,FALSE)="QB",AA98,VLOOKUP(AB98,$A$2:$B$1048576,2,FALSE)="QB",AB98,VLOOKUP(AC98,$A$2:$B$1048576,2,FALSE)="QB",AC98,VLOOKUP(AD98,$A$2:$B$1048576,2,FALSE)="QB",AD98,VLOOKUP(AE98,$A$2:$B$1048576,2,FALSE)="QB",AE98,VLOOKUP(AF98,$A$2:$B$1048576,2,FALSE)="QB",AF98,VLOOKUP(AG98,$A$2:$B$1048576,2,FALSE)="QB",AG98,VLOOKUP(AH98,$A$2:$B$1048576,2,FALSE)="QB",AH98,VLOOKUP(AI98,$A$2:$B$1048576,2,FALSE)="QB",AI98)</f>
        <v>#N/A</v>
      </c>
      <c r="AL98" t="e" cm="1">
        <f t="array" ref="AL98">_xlfn.IFS(VLOOKUP(AA98,$A$2:$B$1048576,2,FALSE)="RB",AA98,VLOOKUP(AB98,$A$2:$B$1048576,2,FALSE)="RB",AB98,VLOOKUP(AC98,$A$2:$B$1048576,2,FALSE)="RB",AC98,VLOOKUP(AD98,$A$2:$B$1048576,2,FALSE)="RB",AD98,VLOOKUP(AE98,$A$2:$B$1048576,2,FALSE)="RB",AE98,VLOOKUP(AF98,$A$2:$B$1048576,2,FALSE)="RB",AF98,VLOOKUP(AG98,$A$2:$B$1048576,2,FALSE)="RB",AG98,VLOOKUP(AH98,$A$2:$B$1048576,2,FALSE)="RB",AH98,VLOOKUP(AI98,$A$2:$B$1048576,2,FALSE)="RB",AI98)</f>
        <v>#N/A</v>
      </c>
      <c r="AM98" t="e">
        <f t="shared" si="9"/>
        <v>#N/A</v>
      </c>
      <c r="AN98" t="e" cm="1">
        <f t="array" ref="AN98">_xlfn.IFS(VLOOKUP(AA98,$A$2:$B$1048576,2,FALSE)="WR",AA98,VLOOKUP(AB98,$A$2:$B$1048576,2,FALSE)="WR",AB98,VLOOKUP(AC98,$A$2:$B$1048576,2,FALSE)="WR",AC98,VLOOKUP(AD98,$A$2:$B$1048576,2,FALSE)="WR",AD98,VLOOKUP(AE98,$A$2:$B$1048576,2,FALSE)="WR",AE98,VLOOKUP(AF98,$A$2:$B$1048576,2,FALSE)="WR",AF98,VLOOKUP(AG98,$A$2:$B$1048576,2,FALSE)="WR",AG98,VLOOKUP(AH98,$A$2:$B$1048576,2,FALSE)="WR",AH98,VLOOKUP(AI98,$A$2:$B$1048576,2,FALSE)="WR",AI98)</f>
        <v>#N/A</v>
      </c>
      <c r="AO98" t="e">
        <f t="shared" si="10"/>
        <v>#N/A</v>
      </c>
      <c r="AP98" t="e">
        <f t="shared" si="11"/>
        <v>#N/A</v>
      </c>
      <c r="AQ98" t="e" cm="1">
        <f t="array" ref="AQ98">_xlfn.IFS(VLOOKUP(AA98,$A$2:$B$1048576,2,FALSE)="TE",AA98,VLOOKUP(AB98,$A$2:$B$1048576,2,FALSE)="TE",AB98,VLOOKUP(AC98,$A$2:$B$1048576,2,FALSE)="TE",AC98,VLOOKUP(AD98,$A$2:$B$1048576,2,FALSE)="TE",AD98,VLOOKUP(AE98,$A$2:$B$1048576,2,FALSE)="TE",AE98,VLOOKUP(AF98,$A$2:$B$1048576,2,FALSE)="TE",AF98,VLOOKUP(AG98,$A$2:$B$1048576,2,FALSE)="TE",AG98,VLOOKUP(AH98,$A$2:$B$1048576,2,FALSE)="TE",AH98,VLOOKUP(AI98,$A$2:$B$1048576,2,FALSE)="TE",AI98)</f>
        <v>#N/A</v>
      </c>
      <c r="AR98" t="e" cm="1">
        <f t="array" ref="AR98">_xlfn.IFS(IF(OR(AA98=AK98,AA98=AL98,AA98=AM98,AA98=AN98,AA98=AO98,AA98=AP98,AA98=AQ98,AA98=AS98),1,0)=0,AA98,IF(OR(AB98=AK98,AB98=AL98,AB98=AM98,AB98=AN98,AB98=AO98,AB98=AP98,AB98=AQ98,AB98=AS98),1,0)=0,AB98,IF(OR(AC98=AK98,AC98=AL98,AC98=AM98,AC98=AN98,AC98=AO98,AC98=AP98,AC98=AQ98,AC98=AS98),1,0)=0,AC98,IF(OR(AD98=AK98,AD98=AL98,AD98=AM98,AD98=AN98,AD98=AO98,AD98=AP98,AD98=AQ98,AD98=AS98),1,0)=0,AD98,IF(OR(AE98=AK98,AE98=AL98,AE98=AM98,AE98=AN98,AE98=AO98,AE98=AP98,AE98=AQ98,AE98=AS98),1,0)=0,AE98,IF(OR(AF98=AK98,AF98=AL98,AF98=AM98,AF98=AN98,AF98=AO98,AF98=AP98,AF98=AQ98,AF98=AS98),1,0)=0,AF98,IF(OR(AG98=AK98,AG98=AL98,AG98=AM98,AG98=AN98,AG98=AO98,AG98=AP98,AG98=AQ98,AG98=AS98),1,0)=0,AG98,IF(OR(AH98=AK98,AH98=AL98,AH98=AM98,AH98=AN98,AH98=AO98,AH98=AP98,AH98=AQ98,AH98=AS98),1,0)=0,AH98,IF(OR(AI98=AK98,AI98=AL98,AI98=AM98,AI98=AN98,AI98=AO98,AI98=AP98,AI98=AQ98,AI98=AS98),1,0)=0,AI98)</f>
        <v>#N/A</v>
      </c>
      <c r="AS98" t="e" cm="1">
        <f t="array" ref="AS98">_xlfn.IFS(VLOOKUP(AA98,$A$2:$B$1048576,2,FALSE)="DST",AA98,VLOOKUP(AB98,$A$2:$B$1048576,2,FALSE)="DST",AB98,VLOOKUP(AC98,$A$2:$B$1048576,2,FALSE)="DST",AC98,VLOOKUP(AD98,$A$2:$B$1048576,2,FALSE)="DST",AD98,VLOOKUP(AE98,$A$2:$B$1048576,2,FALSE)="DST",AE98,VLOOKUP(AF98,$A$2:$B$1048576,2,FALSE)="DST",AF98,VLOOKUP(AG98,$A$2:$B$1048576,2,FALSE)="DST",AG98,VLOOKUP(AH98,$A$2:$B$1048576,2,FALSE)="DST",AH98,VLOOKUP(AI98,$A$2:$B$1048576,2,FALSE)="DST",AI98)</f>
        <v>#N/A</v>
      </c>
    </row>
    <row r="99" spans="1:45" x14ac:dyDescent="0.35">
      <c r="A99" t="s">
        <v>122</v>
      </c>
      <c r="B99" s="11" t="s">
        <v>8</v>
      </c>
      <c r="C99" s="11">
        <v>6400</v>
      </c>
      <c r="D99" s="12">
        <v>15.309013333333336</v>
      </c>
      <c r="E99" s="12">
        <v>16.539664341887505</v>
      </c>
      <c r="F99" s="12">
        <v>33.787191075096302</v>
      </c>
      <c r="G99" s="28"/>
      <c r="H99" s="11">
        <v>0</v>
      </c>
      <c r="I99">
        <f>IF(B99="QB",H99*1,0)</f>
        <v>0</v>
      </c>
      <c r="J99">
        <f>IF(B99="RB",H99*1,0)</f>
        <v>0</v>
      </c>
      <c r="K99">
        <f>IF(B99="WR",H99*1,0)</f>
        <v>0</v>
      </c>
      <c r="L99">
        <f>IF(B99="TE",H99*1,0)</f>
        <v>0</v>
      </c>
      <c r="M99">
        <f>IF(B99="DST",H99*1,0)</f>
        <v>0</v>
      </c>
      <c r="X99" s="11">
        <f t="shared" si="7"/>
        <v>1</v>
      </c>
      <c r="Y99" s="9">
        <v>98</v>
      </c>
      <c r="Z99" s="12">
        <f t="shared" si="8"/>
        <v>0</v>
      </c>
      <c r="AK99" t="e" cm="1">
        <f t="array" ref="AK99">_xlfn.IFS(VLOOKUP(AA99,$A$2:$B$1048576,2,FALSE)="QB",AA99,VLOOKUP(AB99,$A$2:$B$1048576,2,FALSE)="QB",AB99,VLOOKUP(AC99,$A$2:$B$1048576,2,FALSE)="QB",AC99,VLOOKUP(AD99,$A$2:$B$1048576,2,FALSE)="QB",AD99,VLOOKUP(AE99,$A$2:$B$1048576,2,FALSE)="QB",AE99,VLOOKUP(AF99,$A$2:$B$1048576,2,FALSE)="QB",AF99,VLOOKUP(AG99,$A$2:$B$1048576,2,FALSE)="QB",AG99,VLOOKUP(AH99,$A$2:$B$1048576,2,FALSE)="QB",AH99,VLOOKUP(AI99,$A$2:$B$1048576,2,FALSE)="QB",AI99)</f>
        <v>#N/A</v>
      </c>
      <c r="AL99" t="e" cm="1">
        <f t="array" ref="AL99">_xlfn.IFS(VLOOKUP(AA99,$A$2:$B$1048576,2,FALSE)="RB",AA99,VLOOKUP(AB99,$A$2:$B$1048576,2,FALSE)="RB",AB99,VLOOKUP(AC99,$A$2:$B$1048576,2,FALSE)="RB",AC99,VLOOKUP(AD99,$A$2:$B$1048576,2,FALSE)="RB",AD99,VLOOKUP(AE99,$A$2:$B$1048576,2,FALSE)="RB",AE99,VLOOKUP(AF99,$A$2:$B$1048576,2,FALSE)="RB",AF99,VLOOKUP(AG99,$A$2:$B$1048576,2,FALSE)="RB",AG99,VLOOKUP(AH99,$A$2:$B$1048576,2,FALSE)="RB",AH99,VLOOKUP(AI99,$A$2:$B$1048576,2,FALSE)="RB",AI99)</f>
        <v>#N/A</v>
      </c>
      <c r="AM99" t="e">
        <f t="shared" si="9"/>
        <v>#N/A</v>
      </c>
      <c r="AN99" t="e" cm="1">
        <f t="array" ref="AN99">_xlfn.IFS(VLOOKUP(AA99,$A$2:$B$1048576,2,FALSE)="WR",AA99,VLOOKUP(AB99,$A$2:$B$1048576,2,FALSE)="WR",AB99,VLOOKUP(AC99,$A$2:$B$1048576,2,FALSE)="WR",AC99,VLOOKUP(AD99,$A$2:$B$1048576,2,FALSE)="WR",AD99,VLOOKUP(AE99,$A$2:$B$1048576,2,FALSE)="WR",AE99,VLOOKUP(AF99,$A$2:$B$1048576,2,FALSE)="WR",AF99,VLOOKUP(AG99,$A$2:$B$1048576,2,FALSE)="WR",AG99,VLOOKUP(AH99,$A$2:$B$1048576,2,FALSE)="WR",AH99,VLOOKUP(AI99,$A$2:$B$1048576,2,FALSE)="WR",AI99)</f>
        <v>#N/A</v>
      </c>
      <c r="AO99" t="e">
        <f t="shared" si="10"/>
        <v>#N/A</v>
      </c>
      <c r="AP99" t="e">
        <f t="shared" si="11"/>
        <v>#N/A</v>
      </c>
      <c r="AQ99" t="e" cm="1">
        <f t="array" ref="AQ99">_xlfn.IFS(VLOOKUP(AA99,$A$2:$B$1048576,2,FALSE)="TE",AA99,VLOOKUP(AB99,$A$2:$B$1048576,2,FALSE)="TE",AB99,VLOOKUP(AC99,$A$2:$B$1048576,2,FALSE)="TE",AC99,VLOOKUP(AD99,$A$2:$B$1048576,2,FALSE)="TE",AD99,VLOOKUP(AE99,$A$2:$B$1048576,2,FALSE)="TE",AE99,VLOOKUP(AF99,$A$2:$B$1048576,2,FALSE)="TE",AF99,VLOOKUP(AG99,$A$2:$B$1048576,2,FALSE)="TE",AG99,VLOOKUP(AH99,$A$2:$B$1048576,2,FALSE)="TE",AH99,VLOOKUP(AI99,$A$2:$B$1048576,2,FALSE)="TE",AI99)</f>
        <v>#N/A</v>
      </c>
      <c r="AR99" t="e" cm="1">
        <f t="array" ref="AR99">_xlfn.IFS(IF(OR(AA99=AK99,AA99=AL99,AA99=AM99,AA99=AN99,AA99=AO99,AA99=AP99,AA99=AQ99,AA99=AS99),1,0)=0,AA99,IF(OR(AB99=AK99,AB99=AL99,AB99=AM99,AB99=AN99,AB99=AO99,AB99=AP99,AB99=AQ99,AB99=AS99),1,0)=0,AB99,IF(OR(AC99=AK99,AC99=AL99,AC99=AM99,AC99=AN99,AC99=AO99,AC99=AP99,AC99=AQ99,AC99=AS99),1,0)=0,AC99,IF(OR(AD99=AK99,AD99=AL99,AD99=AM99,AD99=AN99,AD99=AO99,AD99=AP99,AD99=AQ99,AD99=AS99),1,0)=0,AD99,IF(OR(AE99=AK99,AE99=AL99,AE99=AM99,AE99=AN99,AE99=AO99,AE99=AP99,AE99=AQ99,AE99=AS99),1,0)=0,AE99,IF(OR(AF99=AK99,AF99=AL99,AF99=AM99,AF99=AN99,AF99=AO99,AF99=AP99,AF99=AQ99,AF99=AS99),1,0)=0,AF99,IF(OR(AG99=AK99,AG99=AL99,AG99=AM99,AG99=AN99,AG99=AO99,AG99=AP99,AG99=AQ99,AG99=AS99),1,0)=0,AG99,IF(OR(AH99=AK99,AH99=AL99,AH99=AM99,AH99=AN99,AH99=AO99,AH99=AP99,AH99=AQ99,AH99=AS99),1,0)=0,AH99,IF(OR(AI99=AK99,AI99=AL99,AI99=AM99,AI99=AN99,AI99=AO99,AI99=AP99,AI99=AQ99,AI99=AS99),1,0)=0,AI99)</f>
        <v>#N/A</v>
      </c>
      <c r="AS99" t="e" cm="1">
        <f t="array" ref="AS99">_xlfn.IFS(VLOOKUP(AA99,$A$2:$B$1048576,2,FALSE)="DST",AA99,VLOOKUP(AB99,$A$2:$B$1048576,2,FALSE)="DST",AB99,VLOOKUP(AC99,$A$2:$B$1048576,2,FALSE)="DST",AC99,VLOOKUP(AD99,$A$2:$B$1048576,2,FALSE)="DST",AD99,VLOOKUP(AE99,$A$2:$B$1048576,2,FALSE)="DST",AE99,VLOOKUP(AF99,$A$2:$B$1048576,2,FALSE)="DST",AF99,VLOOKUP(AG99,$A$2:$B$1048576,2,FALSE)="DST",AG99,VLOOKUP(AH99,$A$2:$B$1048576,2,FALSE)="DST",AH99,VLOOKUP(AI99,$A$2:$B$1048576,2,FALSE)="DST",AI99)</f>
        <v>#N/A</v>
      </c>
    </row>
    <row r="100" spans="1:45" x14ac:dyDescent="0.35">
      <c r="A100" t="s">
        <v>123</v>
      </c>
      <c r="B100" s="11" t="s">
        <v>8</v>
      </c>
      <c r="C100" s="11">
        <v>5500</v>
      </c>
      <c r="D100" s="12">
        <v>15.274846666666669</v>
      </c>
      <c r="E100" s="12">
        <v>16.936683037846496</v>
      </c>
      <c r="F100" s="12">
        <v>33.800595922851961</v>
      </c>
      <c r="H100" s="11">
        <v>0</v>
      </c>
      <c r="I100">
        <f>IF(B100="QB",H100*1,0)</f>
        <v>0</v>
      </c>
      <c r="J100">
        <f>IF(B100="RB",H100*1,0)</f>
        <v>0</v>
      </c>
      <c r="K100">
        <f>IF(B100="WR",H100*1,0)</f>
        <v>0</v>
      </c>
      <c r="L100">
        <f>IF(B100="TE",H100*1,0)</f>
        <v>0</v>
      </c>
      <c r="M100">
        <f>IF(B100="DST",H100*1,0)</f>
        <v>0</v>
      </c>
      <c r="X100" s="11">
        <f t="shared" si="7"/>
        <v>1</v>
      </c>
      <c r="Y100" s="9">
        <v>99</v>
      </c>
      <c r="Z100" s="12">
        <f t="shared" si="8"/>
        <v>0</v>
      </c>
      <c r="AK100" t="e" cm="1">
        <f t="array" ref="AK100">_xlfn.IFS(VLOOKUP(AA100,$A$2:$B$1048576,2,FALSE)="QB",AA100,VLOOKUP(AB100,$A$2:$B$1048576,2,FALSE)="QB",AB100,VLOOKUP(AC100,$A$2:$B$1048576,2,FALSE)="QB",AC100,VLOOKUP(AD100,$A$2:$B$1048576,2,FALSE)="QB",AD100,VLOOKUP(AE100,$A$2:$B$1048576,2,FALSE)="QB",AE100,VLOOKUP(AF100,$A$2:$B$1048576,2,FALSE)="QB",AF100,VLOOKUP(AG100,$A$2:$B$1048576,2,FALSE)="QB",AG100,VLOOKUP(AH100,$A$2:$B$1048576,2,FALSE)="QB",AH100,VLOOKUP(AI100,$A$2:$B$1048576,2,FALSE)="QB",AI100)</f>
        <v>#N/A</v>
      </c>
      <c r="AL100" t="e" cm="1">
        <f t="array" ref="AL100">_xlfn.IFS(VLOOKUP(AA100,$A$2:$B$1048576,2,FALSE)="RB",AA100,VLOOKUP(AB100,$A$2:$B$1048576,2,FALSE)="RB",AB100,VLOOKUP(AC100,$A$2:$B$1048576,2,FALSE)="RB",AC100,VLOOKUP(AD100,$A$2:$B$1048576,2,FALSE)="RB",AD100,VLOOKUP(AE100,$A$2:$B$1048576,2,FALSE)="RB",AE100,VLOOKUP(AF100,$A$2:$B$1048576,2,FALSE)="RB",AF100,VLOOKUP(AG100,$A$2:$B$1048576,2,FALSE)="RB",AG100,VLOOKUP(AH100,$A$2:$B$1048576,2,FALSE)="RB",AH100,VLOOKUP(AI100,$A$2:$B$1048576,2,FALSE)="RB",AI100)</f>
        <v>#N/A</v>
      </c>
      <c r="AM100" t="e">
        <f t="shared" si="9"/>
        <v>#N/A</v>
      </c>
      <c r="AN100" t="e" cm="1">
        <f t="array" ref="AN100">_xlfn.IFS(VLOOKUP(AA100,$A$2:$B$1048576,2,FALSE)="WR",AA100,VLOOKUP(AB100,$A$2:$B$1048576,2,FALSE)="WR",AB100,VLOOKUP(AC100,$A$2:$B$1048576,2,FALSE)="WR",AC100,VLOOKUP(AD100,$A$2:$B$1048576,2,FALSE)="WR",AD100,VLOOKUP(AE100,$A$2:$B$1048576,2,FALSE)="WR",AE100,VLOOKUP(AF100,$A$2:$B$1048576,2,FALSE)="WR",AF100,VLOOKUP(AG100,$A$2:$B$1048576,2,FALSE)="WR",AG100,VLOOKUP(AH100,$A$2:$B$1048576,2,FALSE)="WR",AH100,VLOOKUP(AI100,$A$2:$B$1048576,2,FALSE)="WR",AI100)</f>
        <v>#N/A</v>
      </c>
      <c r="AO100" t="e">
        <f t="shared" si="10"/>
        <v>#N/A</v>
      </c>
      <c r="AP100" t="e">
        <f t="shared" si="11"/>
        <v>#N/A</v>
      </c>
      <c r="AQ100" t="e" cm="1">
        <f t="array" ref="AQ100">_xlfn.IFS(VLOOKUP(AA100,$A$2:$B$1048576,2,FALSE)="TE",AA100,VLOOKUP(AB100,$A$2:$B$1048576,2,FALSE)="TE",AB100,VLOOKUP(AC100,$A$2:$B$1048576,2,FALSE)="TE",AC100,VLOOKUP(AD100,$A$2:$B$1048576,2,FALSE)="TE",AD100,VLOOKUP(AE100,$A$2:$B$1048576,2,FALSE)="TE",AE100,VLOOKUP(AF100,$A$2:$B$1048576,2,FALSE)="TE",AF100,VLOOKUP(AG100,$A$2:$B$1048576,2,FALSE)="TE",AG100,VLOOKUP(AH100,$A$2:$B$1048576,2,FALSE)="TE",AH100,VLOOKUP(AI100,$A$2:$B$1048576,2,FALSE)="TE",AI100)</f>
        <v>#N/A</v>
      </c>
      <c r="AR100" t="e" cm="1">
        <f t="array" ref="AR100">_xlfn.IFS(IF(OR(AA100=AK100,AA100=AL100,AA100=AM100,AA100=AN100,AA100=AO100,AA100=AP100,AA100=AQ100,AA100=AS100),1,0)=0,AA100,IF(OR(AB100=AK100,AB100=AL100,AB100=AM100,AB100=AN100,AB100=AO100,AB100=AP100,AB100=AQ100,AB100=AS100),1,0)=0,AB100,IF(OR(AC100=AK100,AC100=AL100,AC100=AM100,AC100=AN100,AC100=AO100,AC100=AP100,AC100=AQ100,AC100=AS100),1,0)=0,AC100,IF(OR(AD100=AK100,AD100=AL100,AD100=AM100,AD100=AN100,AD100=AO100,AD100=AP100,AD100=AQ100,AD100=AS100),1,0)=0,AD100,IF(OR(AE100=AK100,AE100=AL100,AE100=AM100,AE100=AN100,AE100=AO100,AE100=AP100,AE100=AQ100,AE100=AS100),1,0)=0,AE100,IF(OR(AF100=AK100,AF100=AL100,AF100=AM100,AF100=AN100,AF100=AO100,AF100=AP100,AF100=AQ100,AF100=AS100),1,0)=0,AF100,IF(OR(AG100=AK100,AG100=AL100,AG100=AM100,AG100=AN100,AG100=AO100,AG100=AP100,AG100=AQ100,AG100=AS100),1,0)=0,AG100,IF(OR(AH100=AK100,AH100=AL100,AH100=AM100,AH100=AN100,AH100=AO100,AH100=AP100,AH100=AQ100,AH100=AS100),1,0)=0,AH100,IF(OR(AI100=AK100,AI100=AL100,AI100=AM100,AI100=AN100,AI100=AO100,AI100=AP100,AI100=AQ100,AI100=AS100),1,0)=0,AI100)</f>
        <v>#N/A</v>
      </c>
      <c r="AS100" t="e" cm="1">
        <f t="array" ref="AS100">_xlfn.IFS(VLOOKUP(AA100,$A$2:$B$1048576,2,FALSE)="DST",AA100,VLOOKUP(AB100,$A$2:$B$1048576,2,FALSE)="DST",AB100,VLOOKUP(AC100,$A$2:$B$1048576,2,FALSE)="DST",AC100,VLOOKUP(AD100,$A$2:$B$1048576,2,FALSE)="DST",AD100,VLOOKUP(AE100,$A$2:$B$1048576,2,FALSE)="DST",AE100,VLOOKUP(AF100,$A$2:$B$1048576,2,FALSE)="DST",AF100,VLOOKUP(AG100,$A$2:$B$1048576,2,FALSE)="DST",AG100,VLOOKUP(AH100,$A$2:$B$1048576,2,FALSE)="DST",AH100,VLOOKUP(AI100,$A$2:$B$1048576,2,FALSE)="DST",AI100)</f>
        <v>#N/A</v>
      </c>
    </row>
    <row r="101" spans="1:45" x14ac:dyDescent="0.35">
      <c r="A101" t="s">
        <v>124</v>
      </c>
      <c r="B101" s="11" t="s">
        <v>8</v>
      </c>
      <c r="C101" s="11">
        <v>5300</v>
      </c>
      <c r="D101" s="12">
        <v>15.193180000000002</v>
      </c>
      <c r="E101" s="12">
        <v>15.744801580026646</v>
      </c>
      <c r="F101" s="12">
        <v>33.582362837725476</v>
      </c>
      <c r="H101" s="11">
        <v>0</v>
      </c>
      <c r="I101">
        <f>IF(B101="QB",H101*1,0)</f>
        <v>0</v>
      </c>
      <c r="J101">
        <f>IF(B101="RB",H101*1,0)</f>
        <v>0</v>
      </c>
      <c r="K101">
        <f>IF(B101="WR",H101*1,0)</f>
        <v>0</v>
      </c>
      <c r="L101">
        <f>IF(B101="TE",H101*1,0)</f>
        <v>0</v>
      </c>
      <c r="M101">
        <f>IF(B101="DST",H101*1,0)</f>
        <v>0</v>
      </c>
      <c r="X101" s="11">
        <f t="shared" si="7"/>
        <v>1</v>
      </c>
      <c r="Y101" s="9">
        <v>100</v>
      </c>
      <c r="Z101" s="12">
        <f t="shared" si="8"/>
        <v>0</v>
      </c>
      <c r="AK101" t="e" cm="1">
        <f t="array" ref="AK101">_xlfn.IFS(VLOOKUP(AA101,$A$2:$B$1048576,2,FALSE)="QB",AA101,VLOOKUP(AB101,$A$2:$B$1048576,2,FALSE)="QB",AB101,VLOOKUP(AC101,$A$2:$B$1048576,2,FALSE)="QB",AC101,VLOOKUP(AD101,$A$2:$B$1048576,2,FALSE)="QB",AD101,VLOOKUP(AE101,$A$2:$B$1048576,2,FALSE)="QB",AE101,VLOOKUP(AF101,$A$2:$B$1048576,2,FALSE)="QB",AF101,VLOOKUP(AG101,$A$2:$B$1048576,2,FALSE)="QB",AG101,VLOOKUP(AH101,$A$2:$B$1048576,2,FALSE)="QB",AH101,VLOOKUP(AI101,$A$2:$B$1048576,2,FALSE)="QB",AI101)</f>
        <v>#N/A</v>
      </c>
      <c r="AL101" t="e" cm="1">
        <f t="array" ref="AL101">_xlfn.IFS(VLOOKUP(AA101,$A$2:$B$1048576,2,FALSE)="RB",AA101,VLOOKUP(AB101,$A$2:$B$1048576,2,FALSE)="RB",AB101,VLOOKUP(AC101,$A$2:$B$1048576,2,FALSE)="RB",AC101,VLOOKUP(AD101,$A$2:$B$1048576,2,FALSE)="RB",AD101,VLOOKUP(AE101,$A$2:$B$1048576,2,FALSE)="RB",AE101,VLOOKUP(AF101,$A$2:$B$1048576,2,FALSE)="RB",AF101,VLOOKUP(AG101,$A$2:$B$1048576,2,FALSE)="RB",AG101,VLOOKUP(AH101,$A$2:$B$1048576,2,FALSE)="RB",AH101,VLOOKUP(AI101,$A$2:$B$1048576,2,FALSE)="RB",AI101)</f>
        <v>#N/A</v>
      </c>
      <c r="AM101" t="e">
        <f t="shared" si="9"/>
        <v>#N/A</v>
      </c>
      <c r="AN101" t="e" cm="1">
        <f t="array" ref="AN101">_xlfn.IFS(VLOOKUP(AA101,$A$2:$B$1048576,2,FALSE)="WR",AA101,VLOOKUP(AB101,$A$2:$B$1048576,2,FALSE)="WR",AB101,VLOOKUP(AC101,$A$2:$B$1048576,2,FALSE)="WR",AC101,VLOOKUP(AD101,$A$2:$B$1048576,2,FALSE)="WR",AD101,VLOOKUP(AE101,$A$2:$B$1048576,2,FALSE)="WR",AE101,VLOOKUP(AF101,$A$2:$B$1048576,2,FALSE)="WR",AF101,VLOOKUP(AG101,$A$2:$B$1048576,2,FALSE)="WR",AG101,VLOOKUP(AH101,$A$2:$B$1048576,2,FALSE)="WR",AH101,VLOOKUP(AI101,$A$2:$B$1048576,2,FALSE)="WR",AI101)</f>
        <v>#N/A</v>
      </c>
      <c r="AO101" t="e">
        <f t="shared" si="10"/>
        <v>#N/A</v>
      </c>
      <c r="AP101" t="e">
        <f t="shared" si="11"/>
        <v>#N/A</v>
      </c>
      <c r="AQ101" t="e" cm="1">
        <f t="array" ref="AQ101">_xlfn.IFS(VLOOKUP(AA101,$A$2:$B$1048576,2,FALSE)="TE",AA101,VLOOKUP(AB101,$A$2:$B$1048576,2,FALSE)="TE",AB101,VLOOKUP(AC101,$A$2:$B$1048576,2,FALSE)="TE",AC101,VLOOKUP(AD101,$A$2:$B$1048576,2,FALSE)="TE",AD101,VLOOKUP(AE101,$A$2:$B$1048576,2,FALSE)="TE",AE101,VLOOKUP(AF101,$A$2:$B$1048576,2,FALSE)="TE",AF101,VLOOKUP(AG101,$A$2:$B$1048576,2,FALSE)="TE",AG101,VLOOKUP(AH101,$A$2:$B$1048576,2,FALSE)="TE",AH101,VLOOKUP(AI101,$A$2:$B$1048576,2,FALSE)="TE",AI101)</f>
        <v>#N/A</v>
      </c>
      <c r="AR101" t="e" cm="1">
        <f t="array" ref="AR101">_xlfn.IFS(IF(OR(AA101=AK101,AA101=AL101,AA101=AM101,AA101=AN101,AA101=AO101,AA101=AP101,AA101=AQ101,AA101=AS101),1,0)=0,AA101,IF(OR(AB101=AK101,AB101=AL101,AB101=AM101,AB101=AN101,AB101=AO101,AB101=AP101,AB101=AQ101,AB101=AS101),1,0)=0,AB101,IF(OR(AC101=AK101,AC101=AL101,AC101=AM101,AC101=AN101,AC101=AO101,AC101=AP101,AC101=AQ101,AC101=AS101),1,0)=0,AC101,IF(OR(AD101=AK101,AD101=AL101,AD101=AM101,AD101=AN101,AD101=AO101,AD101=AP101,AD101=AQ101,AD101=AS101),1,0)=0,AD101,IF(OR(AE101=AK101,AE101=AL101,AE101=AM101,AE101=AN101,AE101=AO101,AE101=AP101,AE101=AQ101,AE101=AS101),1,0)=0,AE101,IF(OR(AF101=AK101,AF101=AL101,AF101=AM101,AF101=AN101,AF101=AO101,AF101=AP101,AF101=AQ101,AF101=AS101),1,0)=0,AF101,IF(OR(AG101=AK101,AG101=AL101,AG101=AM101,AG101=AN101,AG101=AO101,AG101=AP101,AG101=AQ101,AG101=AS101),1,0)=0,AG101,IF(OR(AH101=AK101,AH101=AL101,AH101=AM101,AH101=AN101,AH101=AO101,AH101=AP101,AH101=AQ101,AH101=AS101),1,0)=0,AH101,IF(OR(AI101=AK101,AI101=AL101,AI101=AM101,AI101=AN101,AI101=AO101,AI101=AP101,AI101=AQ101,AI101=AS101),1,0)=0,AI101)</f>
        <v>#N/A</v>
      </c>
      <c r="AS101" t="e" cm="1">
        <f t="array" ref="AS101">_xlfn.IFS(VLOOKUP(AA101,$A$2:$B$1048576,2,FALSE)="DST",AA101,VLOOKUP(AB101,$A$2:$B$1048576,2,FALSE)="DST",AB101,VLOOKUP(AC101,$A$2:$B$1048576,2,FALSE)="DST",AC101,VLOOKUP(AD101,$A$2:$B$1048576,2,FALSE)="DST",AD101,VLOOKUP(AE101,$A$2:$B$1048576,2,FALSE)="DST",AE101,VLOOKUP(AF101,$A$2:$B$1048576,2,FALSE)="DST",AF101,VLOOKUP(AG101,$A$2:$B$1048576,2,FALSE)="DST",AG101,VLOOKUP(AH101,$A$2:$B$1048576,2,FALSE)="DST",AH101,VLOOKUP(AI101,$A$2:$B$1048576,2,FALSE)="DST",AI101)</f>
        <v>#N/A</v>
      </c>
    </row>
    <row r="102" spans="1:45" x14ac:dyDescent="0.35">
      <c r="A102" t="s">
        <v>125</v>
      </c>
      <c r="B102" s="11" t="s">
        <v>8</v>
      </c>
      <c r="C102" s="11">
        <v>6000</v>
      </c>
      <c r="D102" s="12">
        <v>14.391096666666668</v>
      </c>
      <c r="E102" s="12">
        <v>15.15297523221704</v>
      </c>
      <c r="F102" s="12">
        <v>31.047668930244502</v>
      </c>
      <c r="H102" s="11">
        <v>0</v>
      </c>
      <c r="I102">
        <f>IF(B102="QB",H102*1,0)</f>
        <v>0</v>
      </c>
      <c r="J102">
        <f>IF(B102="RB",H102*1,0)</f>
        <v>0</v>
      </c>
      <c r="K102">
        <f>IF(B102="WR",H102*1,0)</f>
        <v>0</v>
      </c>
      <c r="L102">
        <f>IF(B102="TE",H102*1,0)</f>
        <v>0</v>
      </c>
      <c r="M102">
        <f>IF(B102="DST",H102*1,0)</f>
        <v>0</v>
      </c>
      <c r="X102" s="11">
        <f t="shared" si="7"/>
        <v>1</v>
      </c>
      <c r="Y102" s="9">
        <v>101</v>
      </c>
      <c r="Z102" s="12">
        <f t="shared" si="8"/>
        <v>0</v>
      </c>
      <c r="AK102" t="e" cm="1">
        <f t="array" ref="AK102">_xlfn.IFS(VLOOKUP(AA102,$A$2:$B$1048576,2,FALSE)="QB",AA102,VLOOKUP(AB102,$A$2:$B$1048576,2,FALSE)="QB",AB102,VLOOKUP(AC102,$A$2:$B$1048576,2,FALSE)="QB",AC102,VLOOKUP(AD102,$A$2:$B$1048576,2,FALSE)="QB",AD102,VLOOKUP(AE102,$A$2:$B$1048576,2,FALSE)="QB",AE102,VLOOKUP(AF102,$A$2:$B$1048576,2,FALSE)="QB",AF102,VLOOKUP(AG102,$A$2:$B$1048576,2,FALSE)="QB",AG102,VLOOKUP(AH102,$A$2:$B$1048576,2,FALSE)="QB",AH102,VLOOKUP(AI102,$A$2:$B$1048576,2,FALSE)="QB",AI102)</f>
        <v>#N/A</v>
      </c>
      <c r="AL102" t="e" cm="1">
        <f t="array" ref="AL102">_xlfn.IFS(VLOOKUP(AA102,$A$2:$B$1048576,2,FALSE)="RB",AA102,VLOOKUP(AB102,$A$2:$B$1048576,2,FALSE)="RB",AB102,VLOOKUP(AC102,$A$2:$B$1048576,2,FALSE)="RB",AC102,VLOOKUP(AD102,$A$2:$B$1048576,2,FALSE)="RB",AD102,VLOOKUP(AE102,$A$2:$B$1048576,2,FALSE)="RB",AE102,VLOOKUP(AF102,$A$2:$B$1048576,2,FALSE)="RB",AF102,VLOOKUP(AG102,$A$2:$B$1048576,2,FALSE)="RB",AG102,VLOOKUP(AH102,$A$2:$B$1048576,2,FALSE)="RB",AH102,VLOOKUP(AI102,$A$2:$B$1048576,2,FALSE)="RB",AI102)</f>
        <v>#N/A</v>
      </c>
      <c r="AM102" t="e">
        <f t="shared" si="9"/>
        <v>#N/A</v>
      </c>
      <c r="AN102" t="e" cm="1">
        <f t="array" ref="AN102">_xlfn.IFS(VLOOKUP(AA102,$A$2:$B$1048576,2,FALSE)="WR",AA102,VLOOKUP(AB102,$A$2:$B$1048576,2,FALSE)="WR",AB102,VLOOKUP(AC102,$A$2:$B$1048576,2,FALSE)="WR",AC102,VLOOKUP(AD102,$A$2:$B$1048576,2,FALSE)="WR",AD102,VLOOKUP(AE102,$A$2:$B$1048576,2,FALSE)="WR",AE102,VLOOKUP(AF102,$A$2:$B$1048576,2,FALSE)="WR",AF102,VLOOKUP(AG102,$A$2:$B$1048576,2,FALSE)="WR",AG102,VLOOKUP(AH102,$A$2:$B$1048576,2,FALSE)="WR",AH102,VLOOKUP(AI102,$A$2:$B$1048576,2,FALSE)="WR",AI102)</f>
        <v>#N/A</v>
      </c>
      <c r="AO102" t="e">
        <f t="shared" si="10"/>
        <v>#N/A</v>
      </c>
      <c r="AP102" t="e">
        <f t="shared" si="11"/>
        <v>#N/A</v>
      </c>
      <c r="AQ102" t="e" cm="1">
        <f t="array" ref="AQ102">_xlfn.IFS(VLOOKUP(AA102,$A$2:$B$1048576,2,FALSE)="TE",AA102,VLOOKUP(AB102,$A$2:$B$1048576,2,FALSE)="TE",AB102,VLOOKUP(AC102,$A$2:$B$1048576,2,FALSE)="TE",AC102,VLOOKUP(AD102,$A$2:$B$1048576,2,FALSE)="TE",AD102,VLOOKUP(AE102,$A$2:$B$1048576,2,FALSE)="TE",AE102,VLOOKUP(AF102,$A$2:$B$1048576,2,FALSE)="TE",AF102,VLOOKUP(AG102,$A$2:$B$1048576,2,FALSE)="TE",AG102,VLOOKUP(AH102,$A$2:$B$1048576,2,FALSE)="TE",AH102,VLOOKUP(AI102,$A$2:$B$1048576,2,FALSE)="TE",AI102)</f>
        <v>#N/A</v>
      </c>
      <c r="AR102" t="e" cm="1">
        <f t="array" ref="AR102">_xlfn.IFS(IF(OR(AA102=AK102,AA102=AL102,AA102=AM102,AA102=AN102,AA102=AO102,AA102=AP102,AA102=AQ102,AA102=AS102),1,0)=0,AA102,IF(OR(AB102=AK102,AB102=AL102,AB102=AM102,AB102=AN102,AB102=AO102,AB102=AP102,AB102=AQ102,AB102=AS102),1,0)=0,AB102,IF(OR(AC102=AK102,AC102=AL102,AC102=AM102,AC102=AN102,AC102=AO102,AC102=AP102,AC102=AQ102,AC102=AS102),1,0)=0,AC102,IF(OR(AD102=AK102,AD102=AL102,AD102=AM102,AD102=AN102,AD102=AO102,AD102=AP102,AD102=AQ102,AD102=AS102),1,0)=0,AD102,IF(OR(AE102=AK102,AE102=AL102,AE102=AM102,AE102=AN102,AE102=AO102,AE102=AP102,AE102=AQ102,AE102=AS102),1,0)=0,AE102,IF(OR(AF102=AK102,AF102=AL102,AF102=AM102,AF102=AN102,AF102=AO102,AF102=AP102,AF102=AQ102,AF102=AS102),1,0)=0,AF102,IF(OR(AG102=AK102,AG102=AL102,AG102=AM102,AG102=AN102,AG102=AO102,AG102=AP102,AG102=AQ102,AG102=AS102),1,0)=0,AG102,IF(OR(AH102=AK102,AH102=AL102,AH102=AM102,AH102=AN102,AH102=AO102,AH102=AP102,AH102=AQ102,AH102=AS102),1,0)=0,AH102,IF(OR(AI102=AK102,AI102=AL102,AI102=AM102,AI102=AN102,AI102=AO102,AI102=AP102,AI102=AQ102,AI102=AS102),1,0)=0,AI102)</f>
        <v>#N/A</v>
      </c>
      <c r="AS102" t="e" cm="1">
        <f t="array" ref="AS102">_xlfn.IFS(VLOOKUP(AA102,$A$2:$B$1048576,2,FALSE)="DST",AA102,VLOOKUP(AB102,$A$2:$B$1048576,2,FALSE)="DST",AB102,VLOOKUP(AC102,$A$2:$B$1048576,2,FALSE)="DST",AC102,VLOOKUP(AD102,$A$2:$B$1048576,2,FALSE)="DST",AD102,VLOOKUP(AE102,$A$2:$B$1048576,2,FALSE)="DST",AE102,VLOOKUP(AF102,$A$2:$B$1048576,2,FALSE)="DST",AF102,VLOOKUP(AG102,$A$2:$B$1048576,2,FALSE)="DST",AG102,VLOOKUP(AH102,$A$2:$B$1048576,2,FALSE)="DST",AH102,VLOOKUP(AI102,$A$2:$B$1048576,2,FALSE)="DST",AI102)</f>
        <v>#N/A</v>
      </c>
    </row>
    <row r="103" spans="1:45" x14ac:dyDescent="0.35">
      <c r="A103" t="s">
        <v>126</v>
      </c>
      <c r="B103" s="11" t="s">
        <v>8</v>
      </c>
      <c r="C103" s="11">
        <v>5600</v>
      </c>
      <c r="D103" s="12">
        <v>13.950263333333336</v>
      </c>
      <c r="E103" s="12">
        <v>13.976963755939661</v>
      </c>
      <c r="F103" s="12">
        <v>29.755239568069509</v>
      </c>
      <c r="H103" s="11">
        <v>0</v>
      </c>
      <c r="I103">
        <f>IF(B103="QB",H103*1,0)</f>
        <v>0</v>
      </c>
      <c r="J103">
        <f>IF(B103="RB",H103*1,0)</f>
        <v>0</v>
      </c>
      <c r="K103">
        <f>IF(B103="WR",H103*1,0)</f>
        <v>0</v>
      </c>
      <c r="L103">
        <f>IF(B103="TE",H103*1,0)</f>
        <v>0</v>
      </c>
      <c r="M103">
        <f>IF(B103="DST",H103*1,0)</f>
        <v>0</v>
      </c>
      <c r="X103" s="11">
        <f t="shared" si="7"/>
        <v>1</v>
      </c>
      <c r="Y103" s="9">
        <v>102</v>
      </c>
      <c r="Z103" s="12">
        <f t="shared" si="8"/>
        <v>0</v>
      </c>
      <c r="AK103" t="e" cm="1">
        <f t="array" ref="AK103">_xlfn.IFS(VLOOKUP(AA103,$A$2:$B$1048576,2,FALSE)="QB",AA103,VLOOKUP(AB103,$A$2:$B$1048576,2,FALSE)="QB",AB103,VLOOKUP(AC103,$A$2:$B$1048576,2,FALSE)="QB",AC103,VLOOKUP(AD103,$A$2:$B$1048576,2,FALSE)="QB",AD103,VLOOKUP(AE103,$A$2:$B$1048576,2,FALSE)="QB",AE103,VLOOKUP(AF103,$A$2:$B$1048576,2,FALSE)="QB",AF103,VLOOKUP(AG103,$A$2:$B$1048576,2,FALSE)="QB",AG103,VLOOKUP(AH103,$A$2:$B$1048576,2,FALSE)="QB",AH103,VLOOKUP(AI103,$A$2:$B$1048576,2,FALSE)="QB",AI103)</f>
        <v>#N/A</v>
      </c>
      <c r="AL103" t="e" cm="1">
        <f t="array" ref="AL103">_xlfn.IFS(VLOOKUP(AA103,$A$2:$B$1048576,2,FALSE)="RB",AA103,VLOOKUP(AB103,$A$2:$B$1048576,2,FALSE)="RB",AB103,VLOOKUP(AC103,$A$2:$B$1048576,2,FALSE)="RB",AC103,VLOOKUP(AD103,$A$2:$B$1048576,2,FALSE)="RB",AD103,VLOOKUP(AE103,$A$2:$B$1048576,2,FALSE)="RB",AE103,VLOOKUP(AF103,$A$2:$B$1048576,2,FALSE)="RB",AF103,VLOOKUP(AG103,$A$2:$B$1048576,2,FALSE)="RB",AG103,VLOOKUP(AH103,$A$2:$B$1048576,2,FALSE)="RB",AH103,VLOOKUP(AI103,$A$2:$B$1048576,2,FALSE)="RB",AI103)</f>
        <v>#N/A</v>
      </c>
      <c r="AM103" t="e">
        <f t="shared" si="9"/>
        <v>#N/A</v>
      </c>
      <c r="AN103" t="e" cm="1">
        <f t="array" ref="AN103">_xlfn.IFS(VLOOKUP(AA103,$A$2:$B$1048576,2,FALSE)="WR",AA103,VLOOKUP(AB103,$A$2:$B$1048576,2,FALSE)="WR",AB103,VLOOKUP(AC103,$A$2:$B$1048576,2,FALSE)="WR",AC103,VLOOKUP(AD103,$A$2:$B$1048576,2,FALSE)="WR",AD103,VLOOKUP(AE103,$A$2:$B$1048576,2,FALSE)="WR",AE103,VLOOKUP(AF103,$A$2:$B$1048576,2,FALSE)="WR",AF103,VLOOKUP(AG103,$A$2:$B$1048576,2,FALSE)="WR",AG103,VLOOKUP(AH103,$A$2:$B$1048576,2,FALSE)="WR",AH103,VLOOKUP(AI103,$A$2:$B$1048576,2,FALSE)="WR",AI103)</f>
        <v>#N/A</v>
      </c>
      <c r="AO103" t="e">
        <f t="shared" si="10"/>
        <v>#N/A</v>
      </c>
      <c r="AP103" t="e">
        <f t="shared" si="11"/>
        <v>#N/A</v>
      </c>
      <c r="AQ103" t="e" cm="1">
        <f t="array" ref="AQ103">_xlfn.IFS(VLOOKUP(AA103,$A$2:$B$1048576,2,FALSE)="TE",AA103,VLOOKUP(AB103,$A$2:$B$1048576,2,FALSE)="TE",AB103,VLOOKUP(AC103,$A$2:$B$1048576,2,FALSE)="TE",AC103,VLOOKUP(AD103,$A$2:$B$1048576,2,FALSE)="TE",AD103,VLOOKUP(AE103,$A$2:$B$1048576,2,FALSE)="TE",AE103,VLOOKUP(AF103,$A$2:$B$1048576,2,FALSE)="TE",AF103,VLOOKUP(AG103,$A$2:$B$1048576,2,FALSE)="TE",AG103,VLOOKUP(AH103,$A$2:$B$1048576,2,FALSE)="TE",AH103,VLOOKUP(AI103,$A$2:$B$1048576,2,FALSE)="TE",AI103)</f>
        <v>#N/A</v>
      </c>
      <c r="AR103" t="e" cm="1">
        <f t="array" ref="AR103">_xlfn.IFS(IF(OR(AA103=AK103,AA103=AL103,AA103=AM103,AA103=AN103,AA103=AO103,AA103=AP103,AA103=AQ103,AA103=AS103),1,0)=0,AA103,IF(OR(AB103=AK103,AB103=AL103,AB103=AM103,AB103=AN103,AB103=AO103,AB103=AP103,AB103=AQ103,AB103=AS103),1,0)=0,AB103,IF(OR(AC103=AK103,AC103=AL103,AC103=AM103,AC103=AN103,AC103=AO103,AC103=AP103,AC103=AQ103,AC103=AS103),1,0)=0,AC103,IF(OR(AD103=AK103,AD103=AL103,AD103=AM103,AD103=AN103,AD103=AO103,AD103=AP103,AD103=AQ103,AD103=AS103),1,0)=0,AD103,IF(OR(AE103=AK103,AE103=AL103,AE103=AM103,AE103=AN103,AE103=AO103,AE103=AP103,AE103=AQ103,AE103=AS103),1,0)=0,AE103,IF(OR(AF103=AK103,AF103=AL103,AF103=AM103,AF103=AN103,AF103=AO103,AF103=AP103,AF103=AQ103,AF103=AS103),1,0)=0,AF103,IF(OR(AG103=AK103,AG103=AL103,AG103=AM103,AG103=AN103,AG103=AO103,AG103=AP103,AG103=AQ103,AG103=AS103),1,0)=0,AG103,IF(OR(AH103=AK103,AH103=AL103,AH103=AM103,AH103=AN103,AH103=AO103,AH103=AP103,AH103=AQ103,AH103=AS103),1,0)=0,AH103,IF(OR(AI103=AK103,AI103=AL103,AI103=AM103,AI103=AN103,AI103=AO103,AI103=AP103,AI103=AQ103,AI103=AS103),1,0)=0,AI103)</f>
        <v>#N/A</v>
      </c>
      <c r="AS103" t="e" cm="1">
        <f t="array" ref="AS103">_xlfn.IFS(VLOOKUP(AA103,$A$2:$B$1048576,2,FALSE)="DST",AA103,VLOOKUP(AB103,$A$2:$B$1048576,2,FALSE)="DST",AB103,VLOOKUP(AC103,$A$2:$B$1048576,2,FALSE)="DST",AC103,VLOOKUP(AD103,$A$2:$B$1048576,2,FALSE)="DST",AD103,VLOOKUP(AE103,$A$2:$B$1048576,2,FALSE)="DST",AE103,VLOOKUP(AF103,$A$2:$B$1048576,2,FALSE)="DST",AF103,VLOOKUP(AG103,$A$2:$B$1048576,2,FALSE)="DST",AG103,VLOOKUP(AH103,$A$2:$B$1048576,2,FALSE)="DST",AH103,VLOOKUP(AI103,$A$2:$B$1048576,2,FALSE)="DST",AI103)</f>
        <v>#N/A</v>
      </c>
    </row>
    <row r="104" spans="1:45" x14ac:dyDescent="0.35">
      <c r="A104" t="s">
        <v>127</v>
      </c>
      <c r="B104" s="11" t="s">
        <v>8</v>
      </c>
      <c r="C104" s="11">
        <v>4600</v>
      </c>
      <c r="D104" s="12">
        <v>13.717138333333335</v>
      </c>
      <c r="E104" s="12">
        <v>13.853919527320794</v>
      </c>
      <c r="F104" s="12">
        <v>29.183156503675082</v>
      </c>
      <c r="H104" s="11">
        <v>0</v>
      </c>
      <c r="I104">
        <f>IF(B104="QB",H104*1,0)</f>
        <v>0</v>
      </c>
      <c r="J104">
        <f>IF(B104="RB",H104*1,0)</f>
        <v>0</v>
      </c>
      <c r="K104">
        <f>IF(B104="WR",H104*1,0)</f>
        <v>0</v>
      </c>
      <c r="L104">
        <f>IF(B104="TE",H104*1,0)</f>
        <v>0</v>
      </c>
      <c r="M104">
        <f>IF(B104="DST",H104*1,0)</f>
        <v>0</v>
      </c>
      <c r="X104" s="11">
        <f t="shared" si="7"/>
        <v>1</v>
      </c>
      <c r="Y104" s="9">
        <v>103</v>
      </c>
      <c r="Z104" s="12">
        <f t="shared" si="8"/>
        <v>0</v>
      </c>
      <c r="AK104" t="e" cm="1">
        <f t="array" ref="AK104">_xlfn.IFS(VLOOKUP(AA104,$A$2:$B$1048576,2,FALSE)="QB",AA104,VLOOKUP(AB104,$A$2:$B$1048576,2,FALSE)="QB",AB104,VLOOKUP(AC104,$A$2:$B$1048576,2,FALSE)="QB",AC104,VLOOKUP(AD104,$A$2:$B$1048576,2,FALSE)="QB",AD104,VLOOKUP(AE104,$A$2:$B$1048576,2,FALSE)="QB",AE104,VLOOKUP(AF104,$A$2:$B$1048576,2,FALSE)="QB",AF104,VLOOKUP(AG104,$A$2:$B$1048576,2,FALSE)="QB",AG104,VLOOKUP(AH104,$A$2:$B$1048576,2,FALSE)="QB",AH104,VLOOKUP(AI104,$A$2:$B$1048576,2,FALSE)="QB",AI104)</f>
        <v>#N/A</v>
      </c>
      <c r="AL104" t="e" cm="1">
        <f t="array" ref="AL104">_xlfn.IFS(VLOOKUP(AA104,$A$2:$B$1048576,2,FALSE)="RB",AA104,VLOOKUP(AB104,$A$2:$B$1048576,2,FALSE)="RB",AB104,VLOOKUP(AC104,$A$2:$B$1048576,2,FALSE)="RB",AC104,VLOOKUP(AD104,$A$2:$B$1048576,2,FALSE)="RB",AD104,VLOOKUP(AE104,$A$2:$B$1048576,2,FALSE)="RB",AE104,VLOOKUP(AF104,$A$2:$B$1048576,2,FALSE)="RB",AF104,VLOOKUP(AG104,$A$2:$B$1048576,2,FALSE)="RB",AG104,VLOOKUP(AH104,$A$2:$B$1048576,2,FALSE)="RB",AH104,VLOOKUP(AI104,$A$2:$B$1048576,2,FALSE)="RB",AI104)</f>
        <v>#N/A</v>
      </c>
      <c r="AM104" t="e">
        <f t="shared" si="9"/>
        <v>#N/A</v>
      </c>
      <c r="AN104" t="e" cm="1">
        <f t="array" ref="AN104">_xlfn.IFS(VLOOKUP(AA104,$A$2:$B$1048576,2,FALSE)="WR",AA104,VLOOKUP(AB104,$A$2:$B$1048576,2,FALSE)="WR",AB104,VLOOKUP(AC104,$A$2:$B$1048576,2,FALSE)="WR",AC104,VLOOKUP(AD104,$A$2:$B$1048576,2,FALSE)="WR",AD104,VLOOKUP(AE104,$A$2:$B$1048576,2,FALSE)="WR",AE104,VLOOKUP(AF104,$A$2:$B$1048576,2,FALSE)="WR",AF104,VLOOKUP(AG104,$A$2:$B$1048576,2,FALSE)="WR",AG104,VLOOKUP(AH104,$A$2:$B$1048576,2,FALSE)="WR",AH104,VLOOKUP(AI104,$A$2:$B$1048576,2,FALSE)="WR",AI104)</f>
        <v>#N/A</v>
      </c>
      <c r="AO104" t="e">
        <f t="shared" si="10"/>
        <v>#N/A</v>
      </c>
      <c r="AP104" t="e">
        <f t="shared" si="11"/>
        <v>#N/A</v>
      </c>
      <c r="AQ104" t="e" cm="1">
        <f t="array" ref="AQ104">_xlfn.IFS(VLOOKUP(AA104,$A$2:$B$1048576,2,FALSE)="TE",AA104,VLOOKUP(AB104,$A$2:$B$1048576,2,FALSE)="TE",AB104,VLOOKUP(AC104,$A$2:$B$1048576,2,FALSE)="TE",AC104,VLOOKUP(AD104,$A$2:$B$1048576,2,FALSE)="TE",AD104,VLOOKUP(AE104,$A$2:$B$1048576,2,FALSE)="TE",AE104,VLOOKUP(AF104,$A$2:$B$1048576,2,FALSE)="TE",AF104,VLOOKUP(AG104,$A$2:$B$1048576,2,FALSE)="TE",AG104,VLOOKUP(AH104,$A$2:$B$1048576,2,FALSE)="TE",AH104,VLOOKUP(AI104,$A$2:$B$1048576,2,FALSE)="TE",AI104)</f>
        <v>#N/A</v>
      </c>
      <c r="AR104" t="e" cm="1">
        <f t="array" ref="AR104">_xlfn.IFS(IF(OR(AA104=AK104,AA104=AL104,AA104=AM104,AA104=AN104,AA104=AO104,AA104=AP104,AA104=AQ104,AA104=AS104),1,0)=0,AA104,IF(OR(AB104=AK104,AB104=AL104,AB104=AM104,AB104=AN104,AB104=AO104,AB104=AP104,AB104=AQ104,AB104=AS104),1,0)=0,AB104,IF(OR(AC104=AK104,AC104=AL104,AC104=AM104,AC104=AN104,AC104=AO104,AC104=AP104,AC104=AQ104,AC104=AS104),1,0)=0,AC104,IF(OR(AD104=AK104,AD104=AL104,AD104=AM104,AD104=AN104,AD104=AO104,AD104=AP104,AD104=AQ104,AD104=AS104),1,0)=0,AD104,IF(OR(AE104=AK104,AE104=AL104,AE104=AM104,AE104=AN104,AE104=AO104,AE104=AP104,AE104=AQ104,AE104=AS104),1,0)=0,AE104,IF(OR(AF104=AK104,AF104=AL104,AF104=AM104,AF104=AN104,AF104=AO104,AF104=AP104,AF104=AQ104,AF104=AS104),1,0)=0,AF104,IF(OR(AG104=AK104,AG104=AL104,AG104=AM104,AG104=AN104,AG104=AO104,AG104=AP104,AG104=AQ104,AG104=AS104),1,0)=0,AG104,IF(OR(AH104=AK104,AH104=AL104,AH104=AM104,AH104=AN104,AH104=AO104,AH104=AP104,AH104=AQ104,AH104=AS104),1,0)=0,AH104,IF(OR(AI104=AK104,AI104=AL104,AI104=AM104,AI104=AN104,AI104=AO104,AI104=AP104,AI104=AQ104,AI104=AS104),1,0)=0,AI104)</f>
        <v>#N/A</v>
      </c>
      <c r="AS104" t="e" cm="1">
        <f t="array" ref="AS104">_xlfn.IFS(VLOOKUP(AA104,$A$2:$B$1048576,2,FALSE)="DST",AA104,VLOOKUP(AB104,$A$2:$B$1048576,2,FALSE)="DST",AB104,VLOOKUP(AC104,$A$2:$B$1048576,2,FALSE)="DST",AC104,VLOOKUP(AD104,$A$2:$B$1048576,2,FALSE)="DST",AD104,VLOOKUP(AE104,$A$2:$B$1048576,2,FALSE)="DST",AE104,VLOOKUP(AF104,$A$2:$B$1048576,2,FALSE)="DST",AF104,VLOOKUP(AG104,$A$2:$B$1048576,2,FALSE)="DST",AG104,VLOOKUP(AH104,$A$2:$B$1048576,2,FALSE)="DST",AH104,VLOOKUP(AI104,$A$2:$B$1048576,2,FALSE)="DST",AI104)</f>
        <v>#N/A</v>
      </c>
    </row>
    <row r="105" spans="1:45" x14ac:dyDescent="0.35">
      <c r="A105" t="s">
        <v>128</v>
      </c>
      <c r="B105" s="11" t="s">
        <v>8</v>
      </c>
      <c r="C105" s="11">
        <v>5700</v>
      </c>
      <c r="D105" s="12">
        <v>13.548634999999999</v>
      </c>
      <c r="E105" s="12">
        <v>13.548634999999999</v>
      </c>
      <c r="F105" s="12">
        <v>28.526176898788432</v>
      </c>
      <c r="H105" s="11">
        <v>0</v>
      </c>
      <c r="I105">
        <f>IF(B105="QB",H105*1,0)</f>
        <v>0</v>
      </c>
      <c r="J105">
        <f>IF(B105="RB",H105*1,0)</f>
        <v>0</v>
      </c>
      <c r="K105">
        <f>IF(B105="WR",H105*1,0)</f>
        <v>0</v>
      </c>
      <c r="L105">
        <f>IF(B105="TE",H105*1,0)</f>
        <v>0</v>
      </c>
      <c r="M105">
        <f>IF(B105="DST",H105*1,0)</f>
        <v>0</v>
      </c>
      <c r="X105" s="11">
        <f t="shared" si="7"/>
        <v>1</v>
      </c>
      <c r="Y105" s="9">
        <v>104</v>
      </c>
      <c r="Z105" s="12">
        <f t="shared" si="8"/>
        <v>0</v>
      </c>
      <c r="AK105" t="e" cm="1">
        <f t="array" ref="AK105">_xlfn.IFS(VLOOKUP(AA105,$A$2:$B$1048576,2,FALSE)="QB",AA105,VLOOKUP(AB105,$A$2:$B$1048576,2,FALSE)="QB",AB105,VLOOKUP(AC105,$A$2:$B$1048576,2,FALSE)="QB",AC105,VLOOKUP(AD105,$A$2:$B$1048576,2,FALSE)="QB",AD105,VLOOKUP(AE105,$A$2:$B$1048576,2,FALSE)="QB",AE105,VLOOKUP(AF105,$A$2:$B$1048576,2,FALSE)="QB",AF105,VLOOKUP(AG105,$A$2:$B$1048576,2,FALSE)="QB",AG105,VLOOKUP(AH105,$A$2:$B$1048576,2,FALSE)="QB",AH105,VLOOKUP(AI105,$A$2:$B$1048576,2,FALSE)="QB",AI105)</f>
        <v>#N/A</v>
      </c>
      <c r="AL105" t="e" cm="1">
        <f t="array" ref="AL105">_xlfn.IFS(VLOOKUP(AA105,$A$2:$B$1048576,2,FALSE)="RB",AA105,VLOOKUP(AB105,$A$2:$B$1048576,2,FALSE)="RB",AB105,VLOOKUP(AC105,$A$2:$B$1048576,2,FALSE)="RB",AC105,VLOOKUP(AD105,$A$2:$B$1048576,2,FALSE)="RB",AD105,VLOOKUP(AE105,$A$2:$B$1048576,2,FALSE)="RB",AE105,VLOOKUP(AF105,$A$2:$B$1048576,2,FALSE)="RB",AF105,VLOOKUP(AG105,$A$2:$B$1048576,2,FALSE)="RB",AG105,VLOOKUP(AH105,$A$2:$B$1048576,2,FALSE)="RB",AH105,VLOOKUP(AI105,$A$2:$B$1048576,2,FALSE)="RB",AI105)</f>
        <v>#N/A</v>
      </c>
      <c r="AM105" t="e">
        <f t="shared" si="9"/>
        <v>#N/A</v>
      </c>
      <c r="AN105" t="e" cm="1">
        <f t="array" ref="AN105">_xlfn.IFS(VLOOKUP(AA105,$A$2:$B$1048576,2,FALSE)="WR",AA105,VLOOKUP(AB105,$A$2:$B$1048576,2,FALSE)="WR",AB105,VLOOKUP(AC105,$A$2:$B$1048576,2,FALSE)="WR",AC105,VLOOKUP(AD105,$A$2:$B$1048576,2,FALSE)="WR",AD105,VLOOKUP(AE105,$A$2:$B$1048576,2,FALSE)="WR",AE105,VLOOKUP(AF105,$A$2:$B$1048576,2,FALSE)="WR",AF105,VLOOKUP(AG105,$A$2:$B$1048576,2,FALSE)="WR",AG105,VLOOKUP(AH105,$A$2:$B$1048576,2,FALSE)="WR",AH105,VLOOKUP(AI105,$A$2:$B$1048576,2,FALSE)="WR",AI105)</f>
        <v>#N/A</v>
      </c>
      <c r="AO105" t="e">
        <f t="shared" si="10"/>
        <v>#N/A</v>
      </c>
      <c r="AP105" t="e">
        <f t="shared" si="11"/>
        <v>#N/A</v>
      </c>
      <c r="AQ105" t="e" cm="1">
        <f t="array" ref="AQ105">_xlfn.IFS(VLOOKUP(AA105,$A$2:$B$1048576,2,FALSE)="TE",AA105,VLOOKUP(AB105,$A$2:$B$1048576,2,FALSE)="TE",AB105,VLOOKUP(AC105,$A$2:$B$1048576,2,FALSE)="TE",AC105,VLOOKUP(AD105,$A$2:$B$1048576,2,FALSE)="TE",AD105,VLOOKUP(AE105,$A$2:$B$1048576,2,FALSE)="TE",AE105,VLOOKUP(AF105,$A$2:$B$1048576,2,FALSE)="TE",AF105,VLOOKUP(AG105,$A$2:$B$1048576,2,FALSE)="TE",AG105,VLOOKUP(AH105,$A$2:$B$1048576,2,FALSE)="TE",AH105,VLOOKUP(AI105,$A$2:$B$1048576,2,FALSE)="TE",AI105)</f>
        <v>#N/A</v>
      </c>
      <c r="AR105" t="e" cm="1">
        <f t="array" ref="AR105">_xlfn.IFS(IF(OR(AA105=AK105,AA105=AL105,AA105=AM105,AA105=AN105,AA105=AO105,AA105=AP105,AA105=AQ105,AA105=AS105),1,0)=0,AA105,IF(OR(AB105=AK105,AB105=AL105,AB105=AM105,AB105=AN105,AB105=AO105,AB105=AP105,AB105=AQ105,AB105=AS105),1,0)=0,AB105,IF(OR(AC105=AK105,AC105=AL105,AC105=AM105,AC105=AN105,AC105=AO105,AC105=AP105,AC105=AQ105,AC105=AS105),1,0)=0,AC105,IF(OR(AD105=AK105,AD105=AL105,AD105=AM105,AD105=AN105,AD105=AO105,AD105=AP105,AD105=AQ105,AD105=AS105),1,0)=0,AD105,IF(OR(AE105=AK105,AE105=AL105,AE105=AM105,AE105=AN105,AE105=AO105,AE105=AP105,AE105=AQ105,AE105=AS105),1,0)=0,AE105,IF(OR(AF105=AK105,AF105=AL105,AF105=AM105,AF105=AN105,AF105=AO105,AF105=AP105,AF105=AQ105,AF105=AS105),1,0)=0,AF105,IF(OR(AG105=AK105,AG105=AL105,AG105=AM105,AG105=AN105,AG105=AO105,AG105=AP105,AG105=AQ105,AG105=AS105),1,0)=0,AG105,IF(OR(AH105=AK105,AH105=AL105,AH105=AM105,AH105=AN105,AH105=AO105,AH105=AP105,AH105=AQ105,AH105=AS105),1,0)=0,AH105,IF(OR(AI105=AK105,AI105=AL105,AI105=AM105,AI105=AN105,AI105=AO105,AI105=AP105,AI105=AQ105,AI105=AS105),1,0)=0,AI105)</f>
        <v>#N/A</v>
      </c>
      <c r="AS105" t="e" cm="1">
        <f t="array" ref="AS105">_xlfn.IFS(VLOOKUP(AA105,$A$2:$B$1048576,2,FALSE)="DST",AA105,VLOOKUP(AB105,$A$2:$B$1048576,2,FALSE)="DST",AB105,VLOOKUP(AC105,$A$2:$B$1048576,2,FALSE)="DST",AC105,VLOOKUP(AD105,$A$2:$B$1048576,2,FALSE)="DST",AD105,VLOOKUP(AE105,$A$2:$B$1048576,2,FALSE)="DST",AE105,VLOOKUP(AF105,$A$2:$B$1048576,2,FALSE)="DST",AF105,VLOOKUP(AG105,$A$2:$B$1048576,2,FALSE)="DST",AG105,VLOOKUP(AH105,$A$2:$B$1048576,2,FALSE)="DST",AH105,VLOOKUP(AI105,$A$2:$B$1048576,2,FALSE)="DST",AI105)</f>
        <v>#N/A</v>
      </c>
    </row>
    <row r="106" spans="1:45" x14ac:dyDescent="0.35">
      <c r="A106" t="s">
        <v>129</v>
      </c>
      <c r="B106" s="11" t="s">
        <v>8</v>
      </c>
      <c r="C106" s="11">
        <v>5100</v>
      </c>
      <c r="D106" s="12">
        <v>13.153180000000001</v>
      </c>
      <c r="E106" s="12">
        <v>13.15596504886493</v>
      </c>
      <c r="F106" s="12">
        <v>27.393410382995754</v>
      </c>
      <c r="H106" s="11">
        <v>0</v>
      </c>
      <c r="I106">
        <f>IF(B106="QB",H106*1,0)</f>
        <v>0</v>
      </c>
      <c r="J106">
        <f>IF(B106="RB",H106*1,0)</f>
        <v>0</v>
      </c>
      <c r="K106">
        <f>IF(B106="WR",H106*1,0)</f>
        <v>0</v>
      </c>
      <c r="L106">
        <f>IF(B106="TE",H106*1,0)</f>
        <v>0</v>
      </c>
      <c r="M106">
        <f>IF(B106="DST",H106*1,0)</f>
        <v>0</v>
      </c>
      <c r="X106" s="11">
        <f t="shared" si="7"/>
        <v>1</v>
      </c>
      <c r="Y106" s="9">
        <v>105</v>
      </c>
      <c r="Z106" s="12">
        <f t="shared" si="8"/>
        <v>0</v>
      </c>
      <c r="AK106" t="e" cm="1">
        <f t="array" ref="AK106">_xlfn.IFS(VLOOKUP(AA106,$A$2:$B$1048576,2,FALSE)="QB",AA106,VLOOKUP(AB106,$A$2:$B$1048576,2,FALSE)="QB",AB106,VLOOKUP(AC106,$A$2:$B$1048576,2,FALSE)="QB",AC106,VLOOKUP(AD106,$A$2:$B$1048576,2,FALSE)="QB",AD106,VLOOKUP(AE106,$A$2:$B$1048576,2,FALSE)="QB",AE106,VLOOKUP(AF106,$A$2:$B$1048576,2,FALSE)="QB",AF106,VLOOKUP(AG106,$A$2:$B$1048576,2,FALSE)="QB",AG106,VLOOKUP(AH106,$A$2:$B$1048576,2,FALSE)="QB",AH106,VLOOKUP(AI106,$A$2:$B$1048576,2,FALSE)="QB",AI106)</f>
        <v>#N/A</v>
      </c>
      <c r="AL106" t="e" cm="1">
        <f t="array" ref="AL106">_xlfn.IFS(VLOOKUP(AA106,$A$2:$B$1048576,2,FALSE)="RB",AA106,VLOOKUP(AB106,$A$2:$B$1048576,2,FALSE)="RB",AB106,VLOOKUP(AC106,$A$2:$B$1048576,2,FALSE)="RB",AC106,VLOOKUP(AD106,$A$2:$B$1048576,2,FALSE)="RB",AD106,VLOOKUP(AE106,$A$2:$B$1048576,2,FALSE)="RB",AE106,VLOOKUP(AF106,$A$2:$B$1048576,2,FALSE)="RB",AF106,VLOOKUP(AG106,$A$2:$B$1048576,2,FALSE)="RB",AG106,VLOOKUP(AH106,$A$2:$B$1048576,2,FALSE)="RB",AH106,VLOOKUP(AI106,$A$2:$B$1048576,2,FALSE)="RB",AI106)</f>
        <v>#N/A</v>
      </c>
      <c r="AM106" t="e">
        <f t="shared" si="9"/>
        <v>#N/A</v>
      </c>
      <c r="AN106" t="e" cm="1">
        <f t="array" ref="AN106">_xlfn.IFS(VLOOKUP(AA106,$A$2:$B$1048576,2,FALSE)="WR",AA106,VLOOKUP(AB106,$A$2:$B$1048576,2,FALSE)="WR",AB106,VLOOKUP(AC106,$A$2:$B$1048576,2,FALSE)="WR",AC106,VLOOKUP(AD106,$A$2:$B$1048576,2,FALSE)="WR",AD106,VLOOKUP(AE106,$A$2:$B$1048576,2,FALSE)="WR",AE106,VLOOKUP(AF106,$A$2:$B$1048576,2,FALSE)="WR",AF106,VLOOKUP(AG106,$A$2:$B$1048576,2,FALSE)="WR",AG106,VLOOKUP(AH106,$A$2:$B$1048576,2,FALSE)="WR",AH106,VLOOKUP(AI106,$A$2:$B$1048576,2,FALSE)="WR",AI106)</f>
        <v>#N/A</v>
      </c>
      <c r="AO106" t="e">
        <f t="shared" si="10"/>
        <v>#N/A</v>
      </c>
      <c r="AP106" t="e">
        <f t="shared" si="11"/>
        <v>#N/A</v>
      </c>
      <c r="AQ106" t="e" cm="1">
        <f t="array" ref="AQ106">_xlfn.IFS(VLOOKUP(AA106,$A$2:$B$1048576,2,FALSE)="TE",AA106,VLOOKUP(AB106,$A$2:$B$1048576,2,FALSE)="TE",AB106,VLOOKUP(AC106,$A$2:$B$1048576,2,FALSE)="TE",AC106,VLOOKUP(AD106,$A$2:$B$1048576,2,FALSE)="TE",AD106,VLOOKUP(AE106,$A$2:$B$1048576,2,FALSE)="TE",AE106,VLOOKUP(AF106,$A$2:$B$1048576,2,FALSE)="TE",AF106,VLOOKUP(AG106,$A$2:$B$1048576,2,FALSE)="TE",AG106,VLOOKUP(AH106,$A$2:$B$1048576,2,FALSE)="TE",AH106,VLOOKUP(AI106,$A$2:$B$1048576,2,FALSE)="TE",AI106)</f>
        <v>#N/A</v>
      </c>
      <c r="AR106" t="e" cm="1">
        <f t="array" ref="AR106">_xlfn.IFS(IF(OR(AA106=AK106,AA106=AL106,AA106=AM106,AA106=AN106,AA106=AO106,AA106=AP106,AA106=AQ106,AA106=AS106),1,0)=0,AA106,IF(OR(AB106=AK106,AB106=AL106,AB106=AM106,AB106=AN106,AB106=AO106,AB106=AP106,AB106=AQ106,AB106=AS106),1,0)=0,AB106,IF(OR(AC106=AK106,AC106=AL106,AC106=AM106,AC106=AN106,AC106=AO106,AC106=AP106,AC106=AQ106,AC106=AS106),1,0)=0,AC106,IF(OR(AD106=AK106,AD106=AL106,AD106=AM106,AD106=AN106,AD106=AO106,AD106=AP106,AD106=AQ106,AD106=AS106),1,0)=0,AD106,IF(OR(AE106=AK106,AE106=AL106,AE106=AM106,AE106=AN106,AE106=AO106,AE106=AP106,AE106=AQ106,AE106=AS106),1,0)=0,AE106,IF(OR(AF106=AK106,AF106=AL106,AF106=AM106,AF106=AN106,AF106=AO106,AF106=AP106,AF106=AQ106,AF106=AS106),1,0)=0,AF106,IF(OR(AG106=AK106,AG106=AL106,AG106=AM106,AG106=AN106,AG106=AO106,AG106=AP106,AG106=AQ106,AG106=AS106),1,0)=0,AG106,IF(OR(AH106=AK106,AH106=AL106,AH106=AM106,AH106=AN106,AH106=AO106,AH106=AP106,AH106=AQ106,AH106=AS106),1,0)=0,AH106,IF(OR(AI106=AK106,AI106=AL106,AI106=AM106,AI106=AN106,AI106=AO106,AI106=AP106,AI106=AQ106,AI106=AS106),1,0)=0,AI106)</f>
        <v>#N/A</v>
      </c>
      <c r="AS106" t="e" cm="1">
        <f t="array" ref="AS106">_xlfn.IFS(VLOOKUP(AA106,$A$2:$B$1048576,2,FALSE)="DST",AA106,VLOOKUP(AB106,$A$2:$B$1048576,2,FALSE)="DST",AB106,VLOOKUP(AC106,$A$2:$B$1048576,2,FALSE)="DST",AC106,VLOOKUP(AD106,$A$2:$B$1048576,2,FALSE)="DST",AD106,VLOOKUP(AE106,$A$2:$B$1048576,2,FALSE)="DST",AE106,VLOOKUP(AF106,$A$2:$B$1048576,2,FALSE)="DST",AF106,VLOOKUP(AG106,$A$2:$B$1048576,2,FALSE)="DST",AG106,VLOOKUP(AH106,$A$2:$B$1048576,2,FALSE)="DST",AH106,VLOOKUP(AI106,$A$2:$B$1048576,2,FALSE)="DST",AI106)</f>
        <v>#N/A</v>
      </c>
    </row>
    <row r="107" spans="1:45" x14ac:dyDescent="0.35">
      <c r="A107" t="s">
        <v>130</v>
      </c>
      <c r="B107" s="11" t="s">
        <v>8</v>
      </c>
      <c r="C107" s="11">
        <v>5400</v>
      </c>
      <c r="D107" s="12">
        <v>13.067346666666669</v>
      </c>
      <c r="E107" s="12">
        <v>13.170798299298019</v>
      </c>
      <c r="F107" s="12">
        <v>27.099152861893973</v>
      </c>
      <c r="H107" s="11">
        <v>0</v>
      </c>
      <c r="I107">
        <f>IF(B107="QB",H107*1,0)</f>
        <v>0</v>
      </c>
      <c r="J107">
        <f>IF(B107="RB",H107*1,0)</f>
        <v>0</v>
      </c>
      <c r="K107">
        <f>IF(B107="WR",H107*1,0)</f>
        <v>0</v>
      </c>
      <c r="L107">
        <f>IF(B107="TE",H107*1,0)</f>
        <v>0</v>
      </c>
      <c r="M107">
        <f>IF(B107="DST",H107*1,0)</f>
        <v>0</v>
      </c>
      <c r="X107" s="11">
        <f t="shared" si="7"/>
        <v>1</v>
      </c>
      <c r="Y107" s="9">
        <v>106</v>
      </c>
      <c r="Z107" s="12">
        <f t="shared" si="8"/>
        <v>0</v>
      </c>
      <c r="AK107" t="e" cm="1">
        <f t="array" ref="AK107">_xlfn.IFS(VLOOKUP(AA107,$A$2:$B$1048576,2,FALSE)="QB",AA107,VLOOKUP(AB107,$A$2:$B$1048576,2,FALSE)="QB",AB107,VLOOKUP(AC107,$A$2:$B$1048576,2,FALSE)="QB",AC107,VLOOKUP(AD107,$A$2:$B$1048576,2,FALSE)="QB",AD107,VLOOKUP(AE107,$A$2:$B$1048576,2,FALSE)="QB",AE107,VLOOKUP(AF107,$A$2:$B$1048576,2,FALSE)="QB",AF107,VLOOKUP(AG107,$A$2:$B$1048576,2,FALSE)="QB",AG107,VLOOKUP(AH107,$A$2:$B$1048576,2,FALSE)="QB",AH107,VLOOKUP(AI107,$A$2:$B$1048576,2,FALSE)="QB",AI107)</f>
        <v>#N/A</v>
      </c>
      <c r="AL107" t="e" cm="1">
        <f t="array" ref="AL107">_xlfn.IFS(VLOOKUP(AA107,$A$2:$B$1048576,2,FALSE)="RB",AA107,VLOOKUP(AB107,$A$2:$B$1048576,2,FALSE)="RB",AB107,VLOOKUP(AC107,$A$2:$B$1048576,2,FALSE)="RB",AC107,VLOOKUP(AD107,$A$2:$B$1048576,2,FALSE)="RB",AD107,VLOOKUP(AE107,$A$2:$B$1048576,2,FALSE)="RB",AE107,VLOOKUP(AF107,$A$2:$B$1048576,2,FALSE)="RB",AF107,VLOOKUP(AG107,$A$2:$B$1048576,2,FALSE)="RB",AG107,VLOOKUP(AH107,$A$2:$B$1048576,2,FALSE)="RB",AH107,VLOOKUP(AI107,$A$2:$B$1048576,2,FALSE)="RB",AI107)</f>
        <v>#N/A</v>
      </c>
      <c r="AM107" t="e">
        <f t="shared" si="9"/>
        <v>#N/A</v>
      </c>
      <c r="AN107" t="e" cm="1">
        <f t="array" ref="AN107">_xlfn.IFS(VLOOKUP(AA107,$A$2:$B$1048576,2,FALSE)="WR",AA107,VLOOKUP(AB107,$A$2:$B$1048576,2,FALSE)="WR",AB107,VLOOKUP(AC107,$A$2:$B$1048576,2,FALSE)="WR",AC107,VLOOKUP(AD107,$A$2:$B$1048576,2,FALSE)="WR",AD107,VLOOKUP(AE107,$A$2:$B$1048576,2,FALSE)="WR",AE107,VLOOKUP(AF107,$A$2:$B$1048576,2,FALSE)="WR",AF107,VLOOKUP(AG107,$A$2:$B$1048576,2,FALSE)="WR",AG107,VLOOKUP(AH107,$A$2:$B$1048576,2,FALSE)="WR",AH107,VLOOKUP(AI107,$A$2:$B$1048576,2,FALSE)="WR",AI107)</f>
        <v>#N/A</v>
      </c>
      <c r="AO107" t="e">
        <f t="shared" si="10"/>
        <v>#N/A</v>
      </c>
      <c r="AP107" t="e">
        <f t="shared" si="11"/>
        <v>#N/A</v>
      </c>
      <c r="AQ107" t="e" cm="1">
        <f t="array" ref="AQ107">_xlfn.IFS(VLOOKUP(AA107,$A$2:$B$1048576,2,FALSE)="TE",AA107,VLOOKUP(AB107,$A$2:$B$1048576,2,FALSE)="TE",AB107,VLOOKUP(AC107,$A$2:$B$1048576,2,FALSE)="TE",AC107,VLOOKUP(AD107,$A$2:$B$1048576,2,FALSE)="TE",AD107,VLOOKUP(AE107,$A$2:$B$1048576,2,FALSE)="TE",AE107,VLOOKUP(AF107,$A$2:$B$1048576,2,FALSE)="TE",AF107,VLOOKUP(AG107,$A$2:$B$1048576,2,FALSE)="TE",AG107,VLOOKUP(AH107,$A$2:$B$1048576,2,FALSE)="TE",AH107,VLOOKUP(AI107,$A$2:$B$1048576,2,FALSE)="TE",AI107)</f>
        <v>#N/A</v>
      </c>
      <c r="AR107" t="e" cm="1">
        <f t="array" ref="AR107">_xlfn.IFS(IF(OR(AA107=AK107,AA107=AL107,AA107=AM107,AA107=AN107,AA107=AO107,AA107=AP107,AA107=AQ107,AA107=AS107),1,0)=0,AA107,IF(OR(AB107=AK107,AB107=AL107,AB107=AM107,AB107=AN107,AB107=AO107,AB107=AP107,AB107=AQ107,AB107=AS107),1,0)=0,AB107,IF(OR(AC107=AK107,AC107=AL107,AC107=AM107,AC107=AN107,AC107=AO107,AC107=AP107,AC107=AQ107,AC107=AS107),1,0)=0,AC107,IF(OR(AD107=AK107,AD107=AL107,AD107=AM107,AD107=AN107,AD107=AO107,AD107=AP107,AD107=AQ107,AD107=AS107),1,0)=0,AD107,IF(OR(AE107=AK107,AE107=AL107,AE107=AM107,AE107=AN107,AE107=AO107,AE107=AP107,AE107=AQ107,AE107=AS107),1,0)=0,AE107,IF(OR(AF107=AK107,AF107=AL107,AF107=AM107,AF107=AN107,AF107=AO107,AF107=AP107,AF107=AQ107,AF107=AS107),1,0)=0,AF107,IF(OR(AG107=AK107,AG107=AL107,AG107=AM107,AG107=AN107,AG107=AO107,AG107=AP107,AG107=AQ107,AG107=AS107),1,0)=0,AG107,IF(OR(AH107=AK107,AH107=AL107,AH107=AM107,AH107=AN107,AH107=AO107,AH107=AP107,AH107=AQ107,AH107=AS107),1,0)=0,AH107,IF(OR(AI107=AK107,AI107=AL107,AI107=AM107,AI107=AN107,AI107=AO107,AI107=AP107,AI107=AQ107,AI107=AS107),1,0)=0,AI107)</f>
        <v>#N/A</v>
      </c>
      <c r="AS107" t="e" cm="1">
        <f t="array" ref="AS107">_xlfn.IFS(VLOOKUP(AA107,$A$2:$B$1048576,2,FALSE)="DST",AA107,VLOOKUP(AB107,$A$2:$B$1048576,2,FALSE)="DST",AB107,VLOOKUP(AC107,$A$2:$B$1048576,2,FALSE)="DST",AC107,VLOOKUP(AD107,$A$2:$B$1048576,2,FALSE)="DST",AD107,VLOOKUP(AE107,$A$2:$B$1048576,2,FALSE)="DST",AE107,VLOOKUP(AF107,$A$2:$B$1048576,2,FALSE)="DST",AF107,VLOOKUP(AG107,$A$2:$B$1048576,2,FALSE)="DST",AG107,VLOOKUP(AH107,$A$2:$B$1048576,2,FALSE)="DST",AH107,VLOOKUP(AI107,$A$2:$B$1048576,2,FALSE)="DST",AI107)</f>
        <v>#N/A</v>
      </c>
    </row>
    <row r="108" spans="1:45" x14ac:dyDescent="0.35">
      <c r="A108" t="s">
        <v>131</v>
      </c>
      <c r="B108" s="11" t="s">
        <v>8</v>
      </c>
      <c r="C108" s="11">
        <v>4200</v>
      </c>
      <c r="D108" s="12">
        <v>12.619013333333335</v>
      </c>
      <c r="E108" s="12">
        <v>14.347769708612981</v>
      </c>
      <c r="F108" s="12">
        <v>25.889791880834572</v>
      </c>
      <c r="H108" s="11">
        <v>0</v>
      </c>
      <c r="I108">
        <f>IF(B108="QB",H108*1,0)</f>
        <v>0</v>
      </c>
      <c r="J108">
        <f>IF(B108="RB",H108*1,0)</f>
        <v>0</v>
      </c>
      <c r="K108">
        <f>IF(B108="WR",H108*1,0)</f>
        <v>0</v>
      </c>
      <c r="L108">
        <f>IF(B108="TE",H108*1,0)</f>
        <v>0</v>
      </c>
      <c r="M108">
        <f>IF(B108="DST",H108*1,0)</f>
        <v>0</v>
      </c>
      <c r="X108" s="11">
        <f t="shared" si="7"/>
        <v>1</v>
      </c>
      <c r="Y108" s="9">
        <v>107</v>
      </c>
      <c r="Z108" s="12">
        <f t="shared" si="8"/>
        <v>0</v>
      </c>
      <c r="AK108" t="e" cm="1">
        <f t="array" ref="AK108">_xlfn.IFS(VLOOKUP(AA108,$A$2:$B$1048576,2,FALSE)="QB",AA108,VLOOKUP(AB108,$A$2:$B$1048576,2,FALSE)="QB",AB108,VLOOKUP(AC108,$A$2:$B$1048576,2,FALSE)="QB",AC108,VLOOKUP(AD108,$A$2:$B$1048576,2,FALSE)="QB",AD108,VLOOKUP(AE108,$A$2:$B$1048576,2,FALSE)="QB",AE108,VLOOKUP(AF108,$A$2:$B$1048576,2,FALSE)="QB",AF108,VLOOKUP(AG108,$A$2:$B$1048576,2,FALSE)="QB",AG108,VLOOKUP(AH108,$A$2:$B$1048576,2,FALSE)="QB",AH108,VLOOKUP(AI108,$A$2:$B$1048576,2,FALSE)="QB",AI108)</f>
        <v>#N/A</v>
      </c>
      <c r="AL108" t="e" cm="1">
        <f t="array" ref="AL108">_xlfn.IFS(VLOOKUP(AA108,$A$2:$B$1048576,2,FALSE)="RB",AA108,VLOOKUP(AB108,$A$2:$B$1048576,2,FALSE)="RB",AB108,VLOOKUP(AC108,$A$2:$B$1048576,2,FALSE)="RB",AC108,VLOOKUP(AD108,$A$2:$B$1048576,2,FALSE)="RB",AD108,VLOOKUP(AE108,$A$2:$B$1048576,2,FALSE)="RB",AE108,VLOOKUP(AF108,$A$2:$B$1048576,2,FALSE)="RB",AF108,VLOOKUP(AG108,$A$2:$B$1048576,2,FALSE)="RB",AG108,VLOOKUP(AH108,$A$2:$B$1048576,2,FALSE)="RB",AH108,VLOOKUP(AI108,$A$2:$B$1048576,2,FALSE)="RB",AI108)</f>
        <v>#N/A</v>
      </c>
      <c r="AM108" t="e">
        <f t="shared" si="9"/>
        <v>#N/A</v>
      </c>
      <c r="AN108" t="e" cm="1">
        <f t="array" ref="AN108">_xlfn.IFS(VLOOKUP(AA108,$A$2:$B$1048576,2,FALSE)="WR",AA108,VLOOKUP(AB108,$A$2:$B$1048576,2,FALSE)="WR",AB108,VLOOKUP(AC108,$A$2:$B$1048576,2,FALSE)="WR",AC108,VLOOKUP(AD108,$A$2:$B$1048576,2,FALSE)="WR",AD108,VLOOKUP(AE108,$A$2:$B$1048576,2,FALSE)="WR",AE108,VLOOKUP(AF108,$A$2:$B$1048576,2,FALSE)="WR",AF108,VLOOKUP(AG108,$A$2:$B$1048576,2,FALSE)="WR",AG108,VLOOKUP(AH108,$A$2:$B$1048576,2,FALSE)="WR",AH108,VLOOKUP(AI108,$A$2:$B$1048576,2,FALSE)="WR",AI108)</f>
        <v>#N/A</v>
      </c>
      <c r="AO108" t="e">
        <f t="shared" si="10"/>
        <v>#N/A</v>
      </c>
      <c r="AP108" t="e">
        <f t="shared" si="11"/>
        <v>#N/A</v>
      </c>
      <c r="AQ108" t="e" cm="1">
        <f t="array" ref="AQ108">_xlfn.IFS(VLOOKUP(AA108,$A$2:$B$1048576,2,FALSE)="TE",AA108,VLOOKUP(AB108,$A$2:$B$1048576,2,FALSE)="TE",AB108,VLOOKUP(AC108,$A$2:$B$1048576,2,FALSE)="TE",AC108,VLOOKUP(AD108,$A$2:$B$1048576,2,FALSE)="TE",AD108,VLOOKUP(AE108,$A$2:$B$1048576,2,FALSE)="TE",AE108,VLOOKUP(AF108,$A$2:$B$1048576,2,FALSE)="TE",AF108,VLOOKUP(AG108,$A$2:$B$1048576,2,FALSE)="TE",AG108,VLOOKUP(AH108,$A$2:$B$1048576,2,FALSE)="TE",AH108,VLOOKUP(AI108,$A$2:$B$1048576,2,FALSE)="TE",AI108)</f>
        <v>#N/A</v>
      </c>
      <c r="AR108" t="e" cm="1">
        <f t="array" ref="AR108">_xlfn.IFS(IF(OR(AA108=AK108,AA108=AL108,AA108=AM108,AA108=AN108,AA108=AO108,AA108=AP108,AA108=AQ108,AA108=AS108),1,0)=0,AA108,IF(OR(AB108=AK108,AB108=AL108,AB108=AM108,AB108=AN108,AB108=AO108,AB108=AP108,AB108=AQ108,AB108=AS108),1,0)=0,AB108,IF(OR(AC108=AK108,AC108=AL108,AC108=AM108,AC108=AN108,AC108=AO108,AC108=AP108,AC108=AQ108,AC108=AS108),1,0)=0,AC108,IF(OR(AD108=AK108,AD108=AL108,AD108=AM108,AD108=AN108,AD108=AO108,AD108=AP108,AD108=AQ108,AD108=AS108),1,0)=0,AD108,IF(OR(AE108=AK108,AE108=AL108,AE108=AM108,AE108=AN108,AE108=AO108,AE108=AP108,AE108=AQ108,AE108=AS108),1,0)=0,AE108,IF(OR(AF108=AK108,AF108=AL108,AF108=AM108,AF108=AN108,AF108=AO108,AF108=AP108,AF108=AQ108,AF108=AS108),1,0)=0,AF108,IF(OR(AG108=AK108,AG108=AL108,AG108=AM108,AG108=AN108,AG108=AO108,AG108=AP108,AG108=AQ108,AG108=AS108),1,0)=0,AG108,IF(OR(AH108=AK108,AH108=AL108,AH108=AM108,AH108=AN108,AH108=AO108,AH108=AP108,AH108=AQ108,AH108=AS108),1,0)=0,AH108,IF(OR(AI108=AK108,AI108=AL108,AI108=AM108,AI108=AN108,AI108=AO108,AI108=AP108,AI108=AQ108,AI108=AS108),1,0)=0,AI108)</f>
        <v>#N/A</v>
      </c>
      <c r="AS108" t="e" cm="1">
        <f t="array" ref="AS108">_xlfn.IFS(VLOOKUP(AA108,$A$2:$B$1048576,2,FALSE)="DST",AA108,VLOOKUP(AB108,$A$2:$B$1048576,2,FALSE)="DST",AB108,VLOOKUP(AC108,$A$2:$B$1048576,2,FALSE)="DST",AC108,VLOOKUP(AD108,$A$2:$B$1048576,2,FALSE)="DST",AD108,VLOOKUP(AE108,$A$2:$B$1048576,2,FALSE)="DST",AE108,VLOOKUP(AF108,$A$2:$B$1048576,2,FALSE)="DST",AF108,VLOOKUP(AG108,$A$2:$B$1048576,2,FALSE)="DST",AG108,VLOOKUP(AH108,$A$2:$B$1048576,2,FALSE)="DST",AH108,VLOOKUP(AI108,$A$2:$B$1048576,2,FALSE)="DST",AI108)</f>
        <v>#N/A</v>
      </c>
    </row>
    <row r="109" spans="1:45" x14ac:dyDescent="0.35">
      <c r="A109" t="s">
        <v>132</v>
      </c>
      <c r="B109" s="11" t="s">
        <v>8</v>
      </c>
      <c r="C109" s="11">
        <v>4900</v>
      </c>
      <c r="D109" s="12">
        <v>12.148180000000002</v>
      </c>
      <c r="E109" s="12">
        <v>12.153140478838317</v>
      </c>
      <c r="F109" s="12">
        <v>24.365747484002384</v>
      </c>
      <c r="H109" s="11">
        <v>0</v>
      </c>
      <c r="I109">
        <f>IF(B109="QB",H109*1,0)</f>
        <v>0</v>
      </c>
      <c r="J109">
        <f>IF(B109="RB",H109*1,0)</f>
        <v>0</v>
      </c>
      <c r="K109">
        <f>IF(B109="WR",H109*1,0)</f>
        <v>0</v>
      </c>
      <c r="L109">
        <f>IF(B109="TE",H109*1,0)</f>
        <v>0</v>
      </c>
      <c r="M109">
        <f>IF(B109="DST",H109*1,0)</f>
        <v>0</v>
      </c>
      <c r="X109" s="11">
        <f t="shared" si="7"/>
        <v>1</v>
      </c>
      <c r="Y109" s="9">
        <v>108</v>
      </c>
      <c r="Z109" s="12">
        <f t="shared" si="8"/>
        <v>0</v>
      </c>
      <c r="AK109" t="e" cm="1">
        <f t="array" ref="AK109">_xlfn.IFS(VLOOKUP(AA109,$A$2:$B$1048576,2,FALSE)="QB",AA109,VLOOKUP(AB109,$A$2:$B$1048576,2,FALSE)="QB",AB109,VLOOKUP(AC109,$A$2:$B$1048576,2,FALSE)="QB",AC109,VLOOKUP(AD109,$A$2:$B$1048576,2,FALSE)="QB",AD109,VLOOKUP(AE109,$A$2:$B$1048576,2,FALSE)="QB",AE109,VLOOKUP(AF109,$A$2:$B$1048576,2,FALSE)="QB",AF109,VLOOKUP(AG109,$A$2:$B$1048576,2,FALSE)="QB",AG109,VLOOKUP(AH109,$A$2:$B$1048576,2,FALSE)="QB",AH109,VLOOKUP(AI109,$A$2:$B$1048576,2,FALSE)="QB",AI109)</f>
        <v>#N/A</v>
      </c>
      <c r="AL109" t="e" cm="1">
        <f t="array" ref="AL109">_xlfn.IFS(VLOOKUP(AA109,$A$2:$B$1048576,2,FALSE)="RB",AA109,VLOOKUP(AB109,$A$2:$B$1048576,2,FALSE)="RB",AB109,VLOOKUP(AC109,$A$2:$B$1048576,2,FALSE)="RB",AC109,VLOOKUP(AD109,$A$2:$B$1048576,2,FALSE)="RB",AD109,VLOOKUP(AE109,$A$2:$B$1048576,2,FALSE)="RB",AE109,VLOOKUP(AF109,$A$2:$B$1048576,2,FALSE)="RB",AF109,VLOOKUP(AG109,$A$2:$B$1048576,2,FALSE)="RB",AG109,VLOOKUP(AH109,$A$2:$B$1048576,2,FALSE)="RB",AH109,VLOOKUP(AI109,$A$2:$B$1048576,2,FALSE)="RB",AI109)</f>
        <v>#N/A</v>
      </c>
      <c r="AM109" t="e">
        <f t="shared" si="9"/>
        <v>#N/A</v>
      </c>
      <c r="AN109" t="e" cm="1">
        <f t="array" ref="AN109">_xlfn.IFS(VLOOKUP(AA109,$A$2:$B$1048576,2,FALSE)="WR",AA109,VLOOKUP(AB109,$A$2:$B$1048576,2,FALSE)="WR",AB109,VLOOKUP(AC109,$A$2:$B$1048576,2,FALSE)="WR",AC109,VLOOKUP(AD109,$A$2:$B$1048576,2,FALSE)="WR",AD109,VLOOKUP(AE109,$A$2:$B$1048576,2,FALSE)="WR",AE109,VLOOKUP(AF109,$A$2:$B$1048576,2,FALSE)="WR",AF109,VLOOKUP(AG109,$A$2:$B$1048576,2,FALSE)="WR",AG109,VLOOKUP(AH109,$A$2:$B$1048576,2,FALSE)="WR",AH109,VLOOKUP(AI109,$A$2:$B$1048576,2,FALSE)="WR",AI109)</f>
        <v>#N/A</v>
      </c>
      <c r="AO109" t="e">
        <f t="shared" si="10"/>
        <v>#N/A</v>
      </c>
      <c r="AP109" t="e">
        <f t="shared" si="11"/>
        <v>#N/A</v>
      </c>
      <c r="AQ109" t="e" cm="1">
        <f t="array" ref="AQ109">_xlfn.IFS(VLOOKUP(AA109,$A$2:$B$1048576,2,FALSE)="TE",AA109,VLOOKUP(AB109,$A$2:$B$1048576,2,FALSE)="TE",AB109,VLOOKUP(AC109,$A$2:$B$1048576,2,FALSE)="TE",AC109,VLOOKUP(AD109,$A$2:$B$1048576,2,FALSE)="TE",AD109,VLOOKUP(AE109,$A$2:$B$1048576,2,FALSE)="TE",AE109,VLOOKUP(AF109,$A$2:$B$1048576,2,FALSE)="TE",AF109,VLOOKUP(AG109,$A$2:$B$1048576,2,FALSE)="TE",AG109,VLOOKUP(AH109,$A$2:$B$1048576,2,FALSE)="TE",AH109,VLOOKUP(AI109,$A$2:$B$1048576,2,FALSE)="TE",AI109)</f>
        <v>#N/A</v>
      </c>
      <c r="AR109" t="e" cm="1">
        <f t="array" ref="AR109">_xlfn.IFS(IF(OR(AA109=AK109,AA109=AL109,AA109=AM109,AA109=AN109,AA109=AO109,AA109=AP109,AA109=AQ109,AA109=AS109),1,0)=0,AA109,IF(OR(AB109=AK109,AB109=AL109,AB109=AM109,AB109=AN109,AB109=AO109,AB109=AP109,AB109=AQ109,AB109=AS109),1,0)=0,AB109,IF(OR(AC109=AK109,AC109=AL109,AC109=AM109,AC109=AN109,AC109=AO109,AC109=AP109,AC109=AQ109,AC109=AS109),1,0)=0,AC109,IF(OR(AD109=AK109,AD109=AL109,AD109=AM109,AD109=AN109,AD109=AO109,AD109=AP109,AD109=AQ109,AD109=AS109),1,0)=0,AD109,IF(OR(AE109=AK109,AE109=AL109,AE109=AM109,AE109=AN109,AE109=AO109,AE109=AP109,AE109=AQ109,AE109=AS109),1,0)=0,AE109,IF(OR(AF109=AK109,AF109=AL109,AF109=AM109,AF109=AN109,AF109=AO109,AF109=AP109,AF109=AQ109,AF109=AS109),1,0)=0,AF109,IF(OR(AG109=AK109,AG109=AL109,AG109=AM109,AG109=AN109,AG109=AO109,AG109=AP109,AG109=AQ109,AG109=AS109),1,0)=0,AG109,IF(OR(AH109=AK109,AH109=AL109,AH109=AM109,AH109=AN109,AH109=AO109,AH109=AP109,AH109=AQ109,AH109=AS109),1,0)=0,AH109,IF(OR(AI109=AK109,AI109=AL109,AI109=AM109,AI109=AN109,AI109=AO109,AI109=AP109,AI109=AQ109,AI109=AS109),1,0)=0,AI109)</f>
        <v>#N/A</v>
      </c>
      <c r="AS109" t="e" cm="1">
        <f t="array" ref="AS109">_xlfn.IFS(VLOOKUP(AA109,$A$2:$B$1048576,2,FALSE)="DST",AA109,VLOOKUP(AB109,$A$2:$B$1048576,2,FALSE)="DST",AB109,VLOOKUP(AC109,$A$2:$B$1048576,2,FALSE)="DST",AC109,VLOOKUP(AD109,$A$2:$B$1048576,2,FALSE)="DST",AD109,VLOOKUP(AE109,$A$2:$B$1048576,2,FALSE)="DST",AE109,VLOOKUP(AF109,$A$2:$B$1048576,2,FALSE)="DST",AF109,VLOOKUP(AG109,$A$2:$B$1048576,2,FALSE)="DST",AG109,VLOOKUP(AH109,$A$2:$B$1048576,2,FALSE)="DST",AH109,VLOOKUP(AI109,$A$2:$B$1048576,2,FALSE)="DST",AI109)</f>
        <v>#N/A</v>
      </c>
    </row>
    <row r="110" spans="1:45" x14ac:dyDescent="0.35">
      <c r="A110" t="s">
        <v>133</v>
      </c>
      <c r="B110" s="11" t="s">
        <v>8</v>
      </c>
      <c r="C110" s="11">
        <v>5200</v>
      </c>
      <c r="D110" s="12">
        <v>11.402346666666666</v>
      </c>
      <c r="E110" s="12">
        <v>11.506263472534087</v>
      </c>
      <c r="F110" s="12">
        <v>22.082976201827918</v>
      </c>
      <c r="H110" s="11">
        <v>0</v>
      </c>
      <c r="I110">
        <f>IF(B110="QB",H110*1,0)</f>
        <v>0</v>
      </c>
      <c r="J110">
        <f>IF(B110="RB",H110*1,0)</f>
        <v>0</v>
      </c>
      <c r="K110">
        <f>IF(B110="WR",H110*1,0)</f>
        <v>0</v>
      </c>
      <c r="L110">
        <f>IF(B110="TE",H110*1,0)</f>
        <v>0</v>
      </c>
      <c r="M110">
        <f>IF(B110="DST",H110*1,0)</f>
        <v>0</v>
      </c>
      <c r="X110" s="11">
        <f t="shared" si="7"/>
        <v>1</v>
      </c>
      <c r="Y110" s="9">
        <v>109</v>
      </c>
      <c r="Z110" s="12">
        <f t="shared" si="8"/>
        <v>0</v>
      </c>
      <c r="AK110" t="e" cm="1">
        <f t="array" ref="AK110">_xlfn.IFS(VLOOKUP(AA110,$A$2:$B$1048576,2,FALSE)="QB",AA110,VLOOKUP(AB110,$A$2:$B$1048576,2,FALSE)="QB",AB110,VLOOKUP(AC110,$A$2:$B$1048576,2,FALSE)="QB",AC110,VLOOKUP(AD110,$A$2:$B$1048576,2,FALSE)="QB",AD110,VLOOKUP(AE110,$A$2:$B$1048576,2,FALSE)="QB",AE110,VLOOKUP(AF110,$A$2:$B$1048576,2,FALSE)="QB",AF110,VLOOKUP(AG110,$A$2:$B$1048576,2,FALSE)="QB",AG110,VLOOKUP(AH110,$A$2:$B$1048576,2,FALSE)="QB",AH110,VLOOKUP(AI110,$A$2:$B$1048576,2,FALSE)="QB",AI110)</f>
        <v>#N/A</v>
      </c>
      <c r="AL110" t="e" cm="1">
        <f t="array" ref="AL110">_xlfn.IFS(VLOOKUP(AA110,$A$2:$B$1048576,2,FALSE)="RB",AA110,VLOOKUP(AB110,$A$2:$B$1048576,2,FALSE)="RB",AB110,VLOOKUP(AC110,$A$2:$B$1048576,2,FALSE)="RB",AC110,VLOOKUP(AD110,$A$2:$B$1048576,2,FALSE)="RB",AD110,VLOOKUP(AE110,$A$2:$B$1048576,2,FALSE)="RB",AE110,VLOOKUP(AF110,$A$2:$B$1048576,2,FALSE)="RB",AF110,VLOOKUP(AG110,$A$2:$B$1048576,2,FALSE)="RB",AG110,VLOOKUP(AH110,$A$2:$B$1048576,2,FALSE)="RB",AH110,VLOOKUP(AI110,$A$2:$B$1048576,2,FALSE)="RB",AI110)</f>
        <v>#N/A</v>
      </c>
      <c r="AM110" t="e">
        <f t="shared" si="9"/>
        <v>#N/A</v>
      </c>
      <c r="AN110" t="e" cm="1">
        <f t="array" ref="AN110">_xlfn.IFS(VLOOKUP(AA110,$A$2:$B$1048576,2,FALSE)="WR",AA110,VLOOKUP(AB110,$A$2:$B$1048576,2,FALSE)="WR",AB110,VLOOKUP(AC110,$A$2:$B$1048576,2,FALSE)="WR",AC110,VLOOKUP(AD110,$A$2:$B$1048576,2,FALSE)="WR",AD110,VLOOKUP(AE110,$A$2:$B$1048576,2,FALSE)="WR",AE110,VLOOKUP(AF110,$A$2:$B$1048576,2,FALSE)="WR",AF110,VLOOKUP(AG110,$A$2:$B$1048576,2,FALSE)="WR",AG110,VLOOKUP(AH110,$A$2:$B$1048576,2,FALSE)="WR",AH110,VLOOKUP(AI110,$A$2:$B$1048576,2,FALSE)="WR",AI110)</f>
        <v>#N/A</v>
      </c>
      <c r="AO110" t="e">
        <f t="shared" si="10"/>
        <v>#N/A</v>
      </c>
      <c r="AP110" t="e">
        <f t="shared" si="11"/>
        <v>#N/A</v>
      </c>
      <c r="AQ110" t="e" cm="1">
        <f t="array" ref="AQ110">_xlfn.IFS(VLOOKUP(AA110,$A$2:$B$1048576,2,FALSE)="TE",AA110,VLOOKUP(AB110,$A$2:$B$1048576,2,FALSE)="TE",AB110,VLOOKUP(AC110,$A$2:$B$1048576,2,FALSE)="TE",AC110,VLOOKUP(AD110,$A$2:$B$1048576,2,FALSE)="TE",AD110,VLOOKUP(AE110,$A$2:$B$1048576,2,FALSE)="TE",AE110,VLOOKUP(AF110,$A$2:$B$1048576,2,FALSE)="TE",AF110,VLOOKUP(AG110,$A$2:$B$1048576,2,FALSE)="TE",AG110,VLOOKUP(AH110,$A$2:$B$1048576,2,FALSE)="TE",AH110,VLOOKUP(AI110,$A$2:$B$1048576,2,FALSE)="TE",AI110)</f>
        <v>#N/A</v>
      </c>
      <c r="AR110" t="e" cm="1">
        <f t="array" ref="AR110">_xlfn.IFS(IF(OR(AA110=AK110,AA110=AL110,AA110=AM110,AA110=AN110,AA110=AO110,AA110=AP110,AA110=AQ110,AA110=AS110),1,0)=0,AA110,IF(OR(AB110=AK110,AB110=AL110,AB110=AM110,AB110=AN110,AB110=AO110,AB110=AP110,AB110=AQ110,AB110=AS110),1,0)=0,AB110,IF(OR(AC110=AK110,AC110=AL110,AC110=AM110,AC110=AN110,AC110=AO110,AC110=AP110,AC110=AQ110,AC110=AS110),1,0)=0,AC110,IF(OR(AD110=AK110,AD110=AL110,AD110=AM110,AD110=AN110,AD110=AO110,AD110=AP110,AD110=AQ110,AD110=AS110),1,0)=0,AD110,IF(OR(AE110=AK110,AE110=AL110,AE110=AM110,AE110=AN110,AE110=AO110,AE110=AP110,AE110=AQ110,AE110=AS110),1,0)=0,AE110,IF(OR(AF110=AK110,AF110=AL110,AF110=AM110,AF110=AN110,AF110=AO110,AF110=AP110,AF110=AQ110,AF110=AS110),1,0)=0,AF110,IF(OR(AG110=AK110,AG110=AL110,AG110=AM110,AG110=AN110,AG110=AO110,AG110=AP110,AG110=AQ110,AG110=AS110),1,0)=0,AG110,IF(OR(AH110=AK110,AH110=AL110,AH110=AM110,AH110=AN110,AH110=AO110,AH110=AP110,AH110=AQ110,AH110=AS110),1,0)=0,AH110,IF(OR(AI110=AK110,AI110=AL110,AI110=AM110,AI110=AN110,AI110=AO110,AI110=AP110,AI110=AQ110,AI110=AS110),1,0)=0,AI110)</f>
        <v>#N/A</v>
      </c>
      <c r="AS110" t="e" cm="1">
        <f t="array" ref="AS110">_xlfn.IFS(VLOOKUP(AA110,$A$2:$B$1048576,2,FALSE)="DST",AA110,VLOOKUP(AB110,$A$2:$B$1048576,2,FALSE)="DST",AB110,VLOOKUP(AC110,$A$2:$B$1048576,2,FALSE)="DST",AC110,VLOOKUP(AD110,$A$2:$B$1048576,2,FALSE)="DST",AD110,VLOOKUP(AE110,$A$2:$B$1048576,2,FALSE)="DST",AE110,VLOOKUP(AF110,$A$2:$B$1048576,2,FALSE)="DST",AF110,VLOOKUP(AG110,$A$2:$B$1048576,2,FALSE)="DST",AG110,VLOOKUP(AH110,$A$2:$B$1048576,2,FALSE)="DST",AH110,VLOOKUP(AI110,$A$2:$B$1048576,2,FALSE)="DST",AI110)</f>
        <v>#N/A</v>
      </c>
    </row>
    <row r="111" spans="1:45" x14ac:dyDescent="0.35">
      <c r="A111" t="s">
        <v>134</v>
      </c>
      <c r="B111" s="11" t="s">
        <v>8</v>
      </c>
      <c r="C111" s="11">
        <v>4000</v>
      </c>
      <c r="D111" s="12">
        <v>10.87068</v>
      </c>
      <c r="E111" s="12">
        <v>10.871952397430674</v>
      </c>
      <c r="F111" s="12">
        <v>20.588158318371665</v>
      </c>
      <c r="H111" s="11">
        <v>0</v>
      </c>
      <c r="I111">
        <f>IF(B111="QB",H111*1,0)</f>
        <v>0</v>
      </c>
      <c r="J111">
        <f>IF(B111="RB",H111*1,0)</f>
        <v>0</v>
      </c>
      <c r="K111">
        <f>IF(B111="WR",H111*1,0)</f>
        <v>0</v>
      </c>
      <c r="L111">
        <f>IF(B111="TE",H111*1,0)</f>
        <v>0</v>
      </c>
      <c r="M111">
        <f>IF(B111="DST",H111*1,0)</f>
        <v>0</v>
      </c>
      <c r="X111" s="11">
        <f t="shared" si="7"/>
        <v>1</v>
      </c>
      <c r="Y111" s="9">
        <v>110</v>
      </c>
      <c r="Z111" s="12">
        <f t="shared" si="8"/>
        <v>0</v>
      </c>
      <c r="AK111" t="e" cm="1">
        <f t="array" ref="AK111">_xlfn.IFS(VLOOKUP(AA111,$A$2:$B$1048576,2,FALSE)="QB",AA111,VLOOKUP(AB111,$A$2:$B$1048576,2,FALSE)="QB",AB111,VLOOKUP(AC111,$A$2:$B$1048576,2,FALSE)="QB",AC111,VLOOKUP(AD111,$A$2:$B$1048576,2,FALSE)="QB",AD111,VLOOKUP(AE111,$A$2:$B$1048576,2,FALSE)="QB",AE111,VLOOKUP(AF111,$A$2:$B$1048576,2,FALSE)="QB",AF111,VLOOKUP(AG111,$A$2:$B$1048576,2,FALSE)="QB",AG111,VLOOKUP(AH111,$A$2:$B$1048576,2,FALSE)="QB",AH111,VLOOKUP(AI111,$A$2:$B$1048576,2,FALSE)="QB",AI111)</f>
        <v>#N/A</v>
      </c>
      <c r="AL111" t="e" cm="1">
        <f t="array" ref="AL111">_xlfn.IFS(VLOOKUP(AA111,$A$2:$B$1048576,2,FALSE)="RB",AA111,VLOOKUP(AB111,$A$2:$B$1048576,2,FALSE)="RB",AB111,VLOOKUP(AC111,$A$2:$B$1048576,2,FALSE)="RB",AC111,VLOOKUP(AD111,$A$2:$B$1048576,2,FALSE)="RB",AD111,VLOOKUP(AE111,$A$2:$B$1048576,2,FALSE)="RB",AE111,VLOOKUP(AF111,$A$2:$B$1048576,2,FALSE)="RB",AF111,VLOOKUP(AG111,$A$2:$B$1048576,2,FALSE)="RB",AG111,VLOOKUP(AH111,$A$2:$B$1048576,2,FALSE)="RB",AH111,VLOOKUP(AI111,$A$2:$B$1048576,2,FALSE)="RB",AI111)</f>
        <v>#N/A</v>
      </c>
      <c r="AM111" t="e">
        <f t="shared" si="9"/>
        <v>#N/A</v>
      </c>
      <c r="AN111" t="e" cm="1">
        <f t="array" ref="AN111">_xlfn.IFS(VLOOKUP(AA111,$A$2:$B$1048576,2,FALSE)="WR",AA111,VLOOKUP(AB111,$A$2:$B$1048576,2,FALSE)="WR",AB111,VLOOKUP(AC111,$A$2:$B$1048576,2,FALSE)="WR",AC111,VLOOKUP(AD111,$A$2:$B$1048576,2,FALSE)="WR",AD111,VLOOKUP(AE111,$A$2:$B$1048576,2,FALSE)="WR",AE111,VLOOKUP(AF111,$A$2:$B$1048576,2,FALSE)="WR",AF111,VLOOKUP(AG111,$A$2:$B$1048576,2,FALSE)="WR",AG111,VLOOKUP(AH111,$A$2:$B$1048576,2,FALSE)="WR",AH111,VLOOKUP(AI111,$A$2:$B$1048576,2,FALSE)="WR",AI111)</f>
        <v>#N/A</v>
      </c>
      <c r="AO111" t="e">
        <f t="shared" si="10"/>
        <v>#N/A</v>
      </c>
      <c r="AP111" t="e">
        <f t="shared" si="11"/>
        <v>#N/A</v>
      </c>
      <c r="AQ111" t="e" cm="1">
        <f t="array" ref="AQ111">_xlfn.IFS(VLOOKUP(AA111,$A$2:$B$1048576,2,FALSE)="TE",AA111,VLOOKUP(AB111,$A$2:$B$1048576,2,FALSE)="TE",AB111,VLOOKUP(AC111,$A$2:$B$1048576,2,FALSE)="TE",AC111,VLOOKUP(AD111,$A$2:$B$1048576,2,FALSE)="TE",AD111,VLOOKUP(AE111,$A$2:$B$1048576,2,FALSE)="TE",AE111,VLOOKUP(AF111,$A$2:$B$1048576,2,FALSE)="TE",AF111,VLOOKUP(AG111,$A$2:$B$1048576,2,FALSE)="TE",AG111,VLOOKUP(AH111,$A$2:$B$1048576,2,FALSE)="TE",AH111,VLOOKUP(AI111,$A$2:$B$1048576,2,FALSE)="TE",AI111)</f>
        <v>#N/A</v>
      </c>
      <c r="AR111" t="e" cm="1">
        <f t="array" ref="AR111">_xlfn.IFS(IF(OR(AA111=AK111,AA111=AL111,AA111=AM111,AA111=AN111,AA111=AO111,AA111=AP111,AA111=AQ111,AA111=AS111),1,0)=0,AA111,IF(OR(AB111=AK111,AB111=AL111,AB111=AM111,AB111=AN111,AB111=AO111,AB111=AP111,AB111=AQ111,AB111=AS111),1,0)=0,AB111,IF(OR(AC111=AK111,AC111=AL111,AC111=AM111,AC111=AN111,AC111=AO111,AC111=AP111,AC111=AQ111,AC111=AS111),1,0)=0,AC111,IF(OR(AD111=AK111,AD111=AL111,AD111=AM111,AD111=AN111,AD111=AO111,AD111=AP111,AD111=AQ111,AD111=AS111),1,0)=0,AD111,IF(OR(AE111=AK111,AE111=AL111,AE111=AM111,AE111=AN111,AE111=AO111,AE111=AP111,AE111=AQ111,AE111=AS111),1,0)=0,AE111,IF(OR(AF111=AK111,AF111=AL111,AF111=AM111,AF111=AN111,AF111=AO111,AF111=AP111,AF111=AQ111,AF111=AS111),1,0)=0,AF111,IF(OR(AG111=AK111,AG111=AL111,AG111=AM111,AG111=AN111,AG111=AO111,AG111=AP111,AG111=AQ111,AG111=AS111),1,0)=0,AG111,IF(OR(AH111=AK111,AH111=AL111,AH111=AM111,AH111=AN111,AH111=AO111,AH111=AP111,AH111=AQ111,AH111=AS111),1,0)=0,AH111,IF(OR(AI111=AK111,AI111=AL111,AI111=AM111,AI111=AN111,AI111=AO111,AI111=AP111,AI111=AQ111,AI111=AS111),1,0)=0,AI111)</f>
        <v>#N/A</v>
      </c>
      <c r="AS111" t="e" cm="1">
        <f t="array" ref="AS111">_xlfn.IFS(VLOOKUP(AA111,$A$2:$B$1048576,2,FALSE)="DST",AA111,VLOOKUP(AB111,$A$2:$B$1048576,2,FALSE)="DST",AB111,VLOOKUP(AC111,$A$2:$B$1048576,2,FALSE)="DST",AC111,VLOOKUP(AD111,$A$2:$B$1048576,2,FALSE)="DST",AD111,VLOOKUP(AE111,$A$2:$B$1048576,2,FALSE)="DST",AE111,VLOOKUP(AF111,$A$2:$B$1048576,2,FALSE)="DST",AF111,VLOOKUP(AG111,$A$2:$B$1048576,2,FALSE)="DST",AG111,VLOOKUP(AH111,$A$2:$B$1048576,2,FALSE)="DST",AH111,VLOOKUP(AI111,$A$2:$B$1048576,2,FALSE)="DST",AI111)</f>
        <v>#N/A</v>
      </c>
    </row>
    <row r="112" spans="1:45" x14ac:dyDescent="0.35">
      <c r="A112" t="s">
        <v>135</v>
      </c>
      <c r="B112" s="11" t="s">
        <v>8</v>
      </c>
      <c r="C112" s="11">
        <v>4900</v>
      </c>
      <c r="D112" s="12">
        <v>10.733596666666669</v>
      </c>
      <c r="E112" s="12">
        <v>10.73974609872659</v>
      </c>
      <c r="F112" s="12">
        <v>20.089312385333404</v>
      </c>
      <c r="H112" s="11">
        <v>0</v>
      </c>
      <c r="I112">
        <f>IF(B112="QB",H112*1,0)</f>
        <v>0</v>
      </c>
      <c r="J112">
        <f>IF(B112="RB",H112*1,0)</f>
        <v>0</v>
      </c>
      <c r="K112">
        <f>IF(B112="WR",H112*1,0)</f>
        <v>0</v>
      </c>
      <c r="L112">
        <f>IF(B112="TE",H112*1,0)</f>
        <v>0</v>
      </c>
      <c r="M112">
        <f>IF(B112="DST",H112*1,0)</f>
        <v>0</v>
      </c>
      <c r="X112" s="11">
        <f t="shared" si="7"/>
        <v>1</v>
      </c>
      <c r="Y112" s="9">
        <v>111</v>
      </c>
      <c r="Z112" s="12">
        <f t="shared" si="8"/>
        <v>0</v>
      </c>
      <c r="AK112" t="e" cm="1">
        <f t="array" ref="AK112">_xlfn.IFS(VLOOKUP(AA112,$A$2:$B$1048576,2,FALSE)="QB",AA112,VLOOKUP(AB112,$A$2:$B$1048576,2,FALSE)="QB",AB112,VLOOKUP(AC112,$A$2:$B$1048576,2,FALSE)="QB",AC112,VLOOKUP(AD112,$A$2:$B$1048576,2,FALSE)="QB",AD112,VLOOKUP(AE112,$A$2:$B$1048576,2,FALSE)="QB",AE112,VLOOKUP(AF112,$A$2:$B$1048576,2,FALSE)="QB",AF112,VLOOKUP(AG112,$A$2:$B$1048576,2,FALSE)="QB",AG112,VLOOKUP(AH112,$A$2:$B$1048576,2,FALSE)="QB",AH112,VLOOKUP(AI112,$A$2:$B$1048576,2,FALSE)="QB",AI112)</f>
        <v>#N/A</v>
      </c>
      <c r="AL112" t="e" cm="1">
        <f t="array" ref="AL112">_xlfn.IFS(VLOOKUP(AA112,$A$2:$B$1048576,2,FALSE)="RB",AA112,VLOOKUP(AB112,$A$2:$B$1048576,2,FALSE)="RB",AB112,VLOOKUP(AC112,$A$2:$B$1048576,2,FALSE)="RB",AC112,VLOOKUP(AD112,$A$2:$B$1048576,2,FALSE)="RB",AD112,VLOOKUP(AE112,$A$2:$B$1048576,2,FALSE)="RB",AE112,VLOOKUP(AF112,$A$2:$B$1048576,2,FALSE)="RB",AF112,VLOOKUP(AG112,$A$2:$B$1048576,2,FALSE)="RB",AG112,VLOOKUP(AH112,$A$2:$B$1048576,2,FALSE)="RB",AH112,VLOOKUP(AI112,$A$2:$B$1048576,2,FALSE)="RB",AI112)</f>
        <v>#N/A</v>
      </c>
      <c r="AM112" t="e">
        <f t="shared" si="9"/>
        <v>#N/A</v>
      </c>
      <c r="AN112" t="e" cm="1">
        <f t="array" ref="AN112">_xlfn.IFS(VLOOKUP(AA112,$A$2:$B$1048576,2,FALSE)="WR",AA112,VLOOKUP(AB112,$A$2:$B$1048576,2,FALSE)="WR",AB112,VLOOKUP(AC112,$A$2:$B$1048576,2,FALSE)="WR",AC112,VLOOKUP(AD112,$A$2:$B$1048576,2,FALSE)="WR",AD112,VLOOKUP(AE112,$A$2:$B$1048576,2,FALSE)="WR",AE112,VLOOKUP(AF112,$A$2:$B$1048576,2,FALSE)="WR",AF112,VLOOKUP(AG112,$A$2:$B$1048576,2,FALSE)="WR",AG112,VLOOKUP(AH112,$A$2:$B$1048576,2,FALSE)="WR",AH112,VLOOKUP(AI112,$A$2:$B$1048576,2,FALSE)="WR",AI112)</f>
        <v>#N/A</v>
      </c>
      <c r="AO112" t="e">
        <f t="shared" si="10"/>
        <v>#N/A</v>
      </c>
      <c r="AP112" t="e">
        <f t="shared" si="11"/>
        <v>#N/A</v>
      </c>
      <c r="AQ112" t="e" cm="1">
        <f t="array" ref="AQ112">_xlfn.IFS(VLOOKUP(AA112,$A$2:$B$1048576,2,FALSE)="TE",AA112,VLOOKUP(AB112,$A$2:$B$1048576,2,FALSE)="TE",AB112,VLOOKUP(AC112,$A$2:$B$1048576,2,FALSE)="TE",AC112,VLOOKUP(AD112,$A$2:$B$1048576,2,FALSE)="TE",AD112,VLOOKUP(AE112,$A$2:$B$1048576,2,FALSE)="TE",AE112,VLOOKUP(AF112,$A$2:$B$1048576,2,FALSE)="TE",AF112,VLOOKUP(AG112,$A$2:$B$1048576,2,FALSE)="TE",AG112,VLOOKUP(AH112,$A$2:$B$1048576,2,FALSE)="TE",AH112,VLOOKUP(AI112,$A$2:$B$1048576,2,FALSE)="TE",AI112)</f>
        <v>#N/A</v>
      </c>
      <c r="AR112" t="e" cm="1">
        <f t="array" ref="AR112">_xlfn.IFS(IF(OR(AA112=AK112,AA112=AL112,AA112=AM112,AA112=AN112,AA112=AO112,AA112=AP112,AA112=AQ112,AA112=AS112),1,0)=0,AA112,IF(OR(AB112=AK112,AB112=AL112,AB112=AM112,AB112=AN112,AB112=AO112,AB112=AP112,AB112=AQ112,AB112=AS112),1,0)=0,AB112,IF(OR(AC112=AK112,AC112=AL112,AC112=AM112,AC112=AN112,AC112=AO112,AC112=AP112,AC112=AQ112,AC112=AS112),1,0)=0,AC112,IF(OR(AD112=AK112,AD112=AL112,AD112=AM112,AD112=AN112,AD112=AO112,AD112=AP112,AD112=AQ112,AD112=AS112),1,0)=0,AD112,IF(OR(AE112=AK112,AE112=AL112,AE112=AM112,AE112=AN112,AE112=AO112,AE112=AP112,AE112=AQ112,AE112=AS112),1,0)=0,AE112,IF(OR(AF112=AK112,AF112=AL112,AF112=AM112,AF112=AN112,AF112=AO112,AF112=AP112,AF112=AQ112,AF112=AS112),1,0)=0,AF112,IF(OR(AG112=AK112,AG112=AL112,AG112=AM112,AG112=AN112,AG112=AO112,AG112=AP112,AG112=AQ112,AG112=AS112),1,0)=0,AG112,IF(OR(AH112=AK112,AH112=AL112,AH112=AM112,AH112=AN112,AH112=AO112,AH112=AP112,AH112=AQ112,AH112=AS112),1,0)=0,AH112,IF(OR(AI112=AK112,AI112=AL112,AI112=AM112,AI112=AN112,AI112=AO112,AI112=AP112,AI112=AQ112,AI112=AS112),1,0)=0,AI112)</f>
        <v>#N/A</v>
      </c>
      <c r="AS112" t="e" cm="1">
        <f t="array" ref="AS112">_xlfn.IFS(VLOOKUP(AA112,$A$2:$B$1048576,2,FALSE)="DST",AA112,VLOOKUP(AB112,$A$2:$B$1048576,2,FALSE)="DST",AB112,VLOOKUP(AC112,$A$2:$B$1048576,2,FALSE)="DST",AC112,VLOOKUP(AD112,$A$2:$B$1048576,2,FALSE)="DST",AD112,VLOOKUP(AE112,$A$2:$B$1048576,2,FALSE)="DST",AE112,VLOOKUP(AF112,$A$2:$B$1048576,2,FALSE)="DST",AF112,VLOOKUP(AG112,$A$2:$B$1048576,2,FALSE)="DST",AG112,VLOOKUP(AH112,$A$2:$B$1048576,2,FALSE)="DST",AH112,VLOOKUP(AI112,$A$2:$B$1048576,2,FALSE)="DST",AI112)</f>
        <v>#N/A</v>
      </c>
    </row>
    <row r="113" spans="1:45" x14ac:dyDescent="0.35">
      <c r="A113" t="s">
        <v>136</v>
      </c>
      <c r="B113" s="11" t="s">
        <v>8</v>
      </c>
      <c r="C113" s="11">
        <v>5000</v>
      </c>
      <c r="D113" s="12">
        <v>9.7165133333333333</v>
      </c>
      <c r="E113" s="12">
        <v>9.8201501261311002</v>
      </c>
      <c r="F113" s="12">
        <v>17.023827599581594</v>
      </c>
      <c r="H113" s="11">
        <v>0</v>
      </c>
      <c r="I113">
        <f>IF(B113="QB",H113*1,0)</f>
        <v>0</v>
      </c>
      <c r="J113">
        <f>IF(B113="RB",H113*1,0)</f>
        <v>0</v>
      </c>
      <c r="K113">
        <f>IF(B113="WR",H113*1,0)</f>
        <v>0</v>
      </c>
      <c r="L113">
        <f>IF(B113="TE",H113*1,0)</f>
        <v>0</v>
      </c>
      <c r="M113">
        <f>IF(B113="DST",H113*1,0)</f>
        <v>0</v>
      </c>
      <c r="X113" s="11">
        <f t="shared" si="7"/>
        <v>1</v>
      </c>
      <c r="Y113" s="9">
        <v>112</v>
      </c>
      <c r="Z113" s="12">
        <f t="shared" si="8"/>
        <v>0</v>
      </c>
      <c r="AK113" t="e" cm="1">
        <f t="array" ref="AK113">_xlfn.IFS(VLOOKUP(AA113,$A$2:$B$1048576,2,FALSE)="QB",AA113,VLOOKUP(AB113,$A$2:$B$1048576,2,FALSE)="QB",AB113,VLOOKUP(AC113,$A$2:$B$1048576,2,FALSE)="QB",AC113,VLOOKUP(AD113,$A$2:$B$1048576,2,FALSE)="QB",AD113,VLOOKUP(AE113,$A$2:$B$1048576,2,FALSE)="QB",AE113,VLOOKUP(AF113,$A$2:$B$1048576,2,FALSE)="QB",AF113,VLOOKUP(AG113,$A$2:$B$1048576,2,FALSE)="QB",AG113,VLOOKUP(AH113,$A$2:$B$1048576,2,FALSE)="QB",AH113,VLOOKUP(AI113,$A$2:$B$1048576,2,FALSE)="QB",AI113)</f>
        <v>#N/A</v>
      </c>
      <c r="AL113" t="e" cm="1">
        <f t="array" ref="AL113">_xlfn.IFS(VLOOKUP(AA113,$A$2:$B$1048576,2,FALSE)="RB",AA113,VLOOKUP(AB113,$A$2:$B$1048576,2,FALSE)="RB",AB113,VLOOKUP(AC113,$A$2:$B$1048576,2,FALSE)="RB",AC113,VLOOKUP(AD113,$A$2:$B$1048576,2,FALSE)="RB",AD113,VLOOKUP(AE113,$A$2:$B$1048576,2,FALSE)="RB",AE113,VLOOKUP(AF113,$A$2:$B$1048576,2,FALSE)="RB",AF113,VLOOKUP(AG113,$A$2:$B$1048576,2,FALSE)="RB",AG113,VLOOKUP(AH113,$A$2:$B$1048576,2,FALSE)="RB",AH113,VLOOKUP(AI113,$A$2:$B$1048576,2,FALSE)="RB",AI113)</f>
        <v>#N/A</v>
      </c>
      <c r="AM113" t="e">
        <f t="shared" si="9"/>
        <v>#N/A</v>
      </c>
      <c r="AN113" t="e" cm="1">
        <f t="array" ref="AN113">_xlfn.IFS(VLOOKUP(AA113,$A$2:$B$1048576,2,FALSE)="WR",AA113,VLOOKUP(AB113,$A$2:$B$1048576,2,FALSE)="WR",AB113,VLOOKUP(AC113,$A$2:$B$1048576,2,FALSE)="WR",AC113,VLOOKUP(AD113,$A$2:$B$1048576,2,FALSE)="WR",AD113,VLOOKUP(AE113,$A$2:$B$1048576,2,FALSE)="WR",AE113,VLOOKUP(AF113,$A$2:$B$1048576,2,FALSE)="WR",AF113,VLOOKUP(AG113,$A$2:$B$1048576,2,FALSE)="WR",AG113,VLOOKUP(AH113,$A$2:$B$1048576,2,FALSE)="WR",AH113,VLOOKUP(AI113,$A$2:$B$1048576,2,FALSE)="WR",AI113)</f>
        <v>#N/A</v>
      </c>
      <c r="AO113" t="e">
        <f t="shared" si="10"/>
        <v>#N/A</v>
      </c>
      <c r="AP113" t="e">
        <f t="shared" si="11"/>
        <v>#N/A</v>
      </c>
      <c r="AQ113" t="e" cm="1">
        <f t="array" ref="AQ113">_xlfn.IFS(VLOOKUP(AA113,$A$2:$B$1048576,2,FALSE)="TE",AA113,VLOOKUP(AB113,$A$2:$B$1048576,2,FALSE)="TE",AB113,VLOOKUP(AC113,$A$2:$B$1048576,2,FALSE)="TE",AC113,VLOOKUP(AD113,$A$2:$B$1048576,2,FALSE)="TE",AD113,VLOOKUP(AE113,$A$2:$B$1048576,2,FALSE)="TE",AE113,VLOOKUP(AF113,$A$2:$B$1048576,2,FALSE)="TE",AF113,VLOOKUP(AG113,$A$2:$B$1048576,2,FALSE)="TE",AG113,VLOOKUP(AH113,$A$2:$B$1048576,2,FALSE)="TE",AH113,VLOOKUP(AI113,$A$2:$B$1048576,2,FALSE)="TE",AI113)</f>
        <v>#N/A</v>
      </c>
      <c r="AR113" t="e" cm="1">
        <f t="array" ref="AR113">_xlfn.IFS(IF(OR(AA113=AK113,AA113=AL113,AA113=AM113,AA113=AN113,AA113=AO113,AA113=AP113,AA113=AQ113,AA113=AS113),1,0)=0,AA113,IF(OR(AB113=AK113,AB113=AL113,AB113=AM113,AB113=AN113,AB113=AO113,AB113=AP113,AB113=AQ113,AB113=AS113),1,0)=0,AB113,IF(OR(AC113=AK113,AC113=AL113,AC113=AM113,AC113=AN113,AC113=AO113,AC113=AP113,AC113=AQ113,AC113=AS113),1,0)=0,AC113,IF(OR(AD113=AK113,AD113=AL113,AD113=AM113,AD113=AN113,AD113=AO113,AD113=AP113,AD113=AQ113,AD113=AS113),1,0)=0,AD113,IF(OR(AE113=AK113,AE113=AL113,AE113=AM113,AE113=AN113,AE113=AO113,AE113=AP113,AE113=AQ113,AE113=AS113),1,0)=0,AE113,IF(OR(AF113=AK113,AF113=AL113,AF113=AM113,AF113=AN113,AF113=AO113,AF113=AP113,AF113=AQ113,AF113=AS113),1,0)=0,AF113,IF(OR(AG113=AK113,AG113=AL113,AG113=AM113,AG113=AN113,AG113=AO113,AG113=AP113,AG113=AQ113,AG113=AS113),1,0)=0,AG113,IF(OR(AH113=AK113,AH113=AL113,AH113=AM113,AH113=AN113,AH113=AO113,AH113=AP113,AH113=AQ113,AH113=AS113),1,0)=0,AH113,IF(OR(AI113=AK113,AI113=AL113,AI113=AM113,AI113=AN113,AI113=AO113,AI113=AP113,AI113=AQ113,AI113=AS113),1,0)=0,AI113)</f>
        <v>#N/A</v>
      </c>
      <c r="AS113" t="e" cm="1">
        <f t="array" ref="AS113">_xlfn.IFS(VLOOKUP(AA113,$A$2:$B$1048576,2,FALSE)="DST",AA113,VLOOKUP(AB113,$A$2:$B$1048576,2,FALSE)="DST",AB113,VLOOKUP(AC113,$A$2:$B$1048576,2,FALSE)="DST",AC113,VLOOKUP(AD113,$A$2:$B$1048576,2,FALSE)="DST",AD113,VLOOKUP(AE113,$A$2:$B$1048576,2,FALSE)="DST",AE113,VLOOKUP(AF113,$A$2:$B$1048576,2,FALSE)="DST",AF113,VLOOKUP(AG113,$A$2:$B$1048576,2,FALSE)="DST",AG113,VLOOKUP(AH113,$A$2:$B$1048576,2,FALSE)="DST",AH113,VLOOKUP(AI113,$A$2:$B$1048576,2,FALSE)="DST",AI113)</f>
        <v>#N/A</v>
      </c>
    </row>
    <row r="114" spans="1:45" x14ac:dyDescent="0.35">
      <c r="A114" t="s">
        <v>137</v>
      </c>
      <c r="B114" s="11" t="s">
        <v>8</v>
      </c>
      <c r="C114" s="11">
        <v>4000</v>
      </c>
      <c r="D114" s="12">
        <v>9.4123466666666662</v>
      </c>
      <c r="E114" s="12">
        <v>9.4161512513925043</v>
      </c>
      <c r="F114" s="12">
        <v>16.172171272654072</v>
      </c>
      <c r="H114" s="11">
        <v>0</v>
      </c>
      <c r="I114">
        <f>IF(B114="QB",H114*1,0)</f>
        <v>0</v>
      </c>
      <c r="J114">
        <f>IF(B114="RB",H114*1,0)</f>
        <v>0</v>
      </c>
      <c r="K114">
        <f>IF(B114="WR",H114*1,0)</f>
        <v>0</v>
      </c>
      <c r="L114">
        <f>IF(B114="TE",H114*1,0)</f>
        <v>0</v>
      </c>
      <c r="M114">
        <f>IF(B114="DST",H114*1,0)</f>
        <v>0</v>
      </c>
      <c r="X114" s="11">
        <f t="shared" si="7"/>
        <v>1</v>
      </c>
      <c r="Y114" s="9">
        <v>113</v>
      </c>
      <c r="Z114" s="12">
        <f t="shared" si="8"/>
        <v>0</v>
      </c>
      <c r="AK114" t="e" cm="1">
        <f t="array" ref="AK114">_xlfn.IFS(VLOOKUP(AA114,$A$2:$B$1048576,2,FALSE)="QB",AA114,VLOOKUP(AB114,$A$2:$B$1048576,2,FALSE)="QB",AB114,VLOOKUP(AC114,$A$2:$B$1048576,2,FALSE)="QB",AC114,VLOOKUP(AD114,$A$2:$B$1048576,2,FALSE)="QB",AD114,VLOOKUP(AE114,$A$2:$B$1048576,2,FALSE)="QB",AE114,VLOOKUP(AF114,$A$2:$B$1048576,2,FALSE)="QB",AF114,VLOOKUP(AG114,$A$2:$B$1048576,2,FALSE)="QB",AG114,VLOOKUP(AH114,$A$2:$B$1048576,2,FALSE)="QB",AH114,VLOOKUP(AI114,$A$2:$B$1048576,2,FALSE)="QB",AI114)</f>
        <v>#N/A</v>
      </c>
      <c r="AL114" t="e" cm="1">
        <f t="array" ref="AL114">_xlfn.IFS(VLOOKUP(AA114,$A$2:$B$1048576,2,FALSE)="RB",AA114,VLOOKUP(AB114,$A$2:$B$1048576,2,FALSE)="RB",AB114,VLOOKUP(AC114,$A$2:$B$1048576,2,FALSE)="RB",AC114,VLOOKUP(AD114,$A$2:$B$1048576,2,FALSE)="RB",AD114,VLOOKUP(AE114,$A$2:$B$1048576,2,FALSE)="RB",AE114,VLOOKUP(AF114,$A$2:$B$1048576,2,FALSE)="RB",AF114,VLOOKUP(AG114,$A$2:$B$1048576,2,FALSE)="RB",AG114,VLOOKUP(AH114,$A$2:$B$1048576,2,FALSE)="RB",AH114,VLOOKUP(AI114,$A$2:$B$1048576,2,FALSE)="RB",AI114)</f>
        <v>#N/A</v>
      </c>
      <c r="AM114" t="e">
        <f t="shared" si="9"/>
        <v>#N/A</v>
      </c>
      <c r="AN114" t="e" cm="1">
        <f t="array" ref="AN114">_xlfn.IFS(VLOOKUP(AA114,$A$2:$B$1048576,2,FALSE)="WR",AA114,VLOOKUP(AB114,$A$2:$B$1048576,2,FALSE)="WR",AB114,VLOOKUP(AC114,$A$2:$B$1048576,2,FALSE)="WR",AC114,VLOOKUP(AD114,$A$2:$B$1048576,2,FALSE)="WR",AD114,VLOOKUP(AE114,$A$2:$B$1048576,2,FALSE)="WR",AE114,VLOOKUP(AF114,$A$2:$B$1048576,2,FALSE)="WR",AF114,VLOOKUP(AG114,$A$2:$B$1048576,2,FALSE)="WR",AG114,VLOOKUP(AH114,$A$2:$B$1048576,2,FALSE)="WR",AH114,VLOOKUP(AI114,$A$2:$B$1048576,2,FALSE)="WR",AI114)</f>
        <v>#N/A</v>
      </c>
      <c r="AO114" t="e">
        <f t="shared" si="10"/>
        <v>#N/A</v>
      </c>
      <c r="AP114" t="e">
        <f t="shared" si="11"/>
        <v>#N/A</v>
      </c>
      <c r="AQ114" t="e" cm="1">
        <f t="array" ref="AQ114">_xlfn.IFS(VLOOKUP(AA114,$A$2:$B$1048576,2,FALSE)="TE",AA114,VLOOKUP(AB114,$A$2:$B$1048576,2,FALSE)="TE",AB114,VLOOKUP(AC114,$A$2:$B$1048576,2,FALSE)="TE",AC114,VLOOKUP(AD114,$A$2:$B$1048576,2,FALSE)="TE",AD114,VLOOKUP(AE114,$A$2:$B$1048576,2,FALSE)="TE",AE114,VLOOKUP(AF114,$A$2:$B$1048576,2,FALSE)="TE",AF114,VLOOKUP(AG114,$A$2:$B$1048576,2,FALSE)="TE",AG114,VLOOKUP(AH114,$A$2:$B$1048576,2,FALSE)="TE",AH114,VLOOKUP(AI114,$A$2:$B$1048576,2,FALSE)="TE",AI114)</f>
        <v>#N/A</v>
      </c>
      <c r="AR114" t="e" cm="1">
        <f t="array" ref="AR114">_xlfn.IFS(IF(OR(AA114=AK114,AA114=AL114,AA114=AM114,AA114=AN114,AA114=AO114,AA114=AP114,AA114=AQ114,AA114=AS114),1,0)=0,AA114,IF(OR(AB114=AK114,AB114=AL114,AB114=AM114,AB114=AN114,AB114=AO114,AB114=AP114,AB114=AQ114,AB114=AS114),1,0)=0,AB114,IF(OR(AC114=AK114,AC114=AL114,AC114=AM114,AC114=AN114,AC114=AO114,AC114=AP114,AC114=AQ114,AC114=AS114),1,0)=0,AC114,IF(OR(AD114=AK114,AD114=AL114,AD114=AM114,AD114=AN114,AD114=AO114,AD114=AP114,AD114=AQ114,AD114=AS114),1,0)=0,AD114,IF(OR(AE114=AK114,AE114=AL114,AE114=AM114,AE114=AN114,AE114=AO114,AE114=AP114,AE114=AQ114,AE114=AS114),1,0)=0,AE114,IF(OR(AF114=AK114,AF114=AL114,AF114=AM114,AF114=AN114,AF114=AO114,AF114=AP114,AF114=AQ114,AF114=AS114),1,0)=0,AF114,IF(OR(AG114=AK114,AG114=AL114,AG114=AM114,AG114=AN114,AG114=AO114,AG114=AP114,AG114=AQ114,AG114=AS114),1,0)=0,AG114,IF(OR(AH114=AK114,AH114=AL114,AH114=AM114,AH114=AN114,AH114=AO114,AH114=AP114,AH114=AQ114,AH114=AS114),1,0)=0,AH114,IF(OR(AI114=AK114,AI114=AL114,AI114=AM114,AI114=AN114,AI114=AO114,AI114=AP114,AI114=AQ114,AI114=AS114),1,0)=0,AI114)</f>
        <v>#N/A</v>
      </c>
      <c r="AS114" t="e" cm="1">
        <f t="array" ref="AS114">_xlfn.IFS(VLOOKUP(AA114,$A$2:$B$1048576,2,FALSE)="DST",AA114,VLOOKUP(AB114,$A$2:$B$1048576,2,FALSE)="DST",AB114,VLOOKUP(AC114,$A$2:$B$1048576,2,FALSE)="DST",AC114,VLOOKUP(AD114,$A$2:$B$1048576,2,FALSE)="DST",AD114,VLOOKUP(AE114,$A$2:$B$1048576,2,FALSE)="DST",AE114,VLOOKUP(AF114,$A$2:$B$1048576,2,FALSE)="DST",AF114,VLOOKUP(AG114,$A$2:$B$1048576,2,FALSE)="DST",AG114,VLOOKUP(AH114,$A$2:$B$1048576,2,FALSE)="DST",AH114,VLOOKUP(AI114,$A$2:$B$1048576,2,FALSE)="DST",AI114)</f>
        <v>#N/A</v>
      </c>
    </row>
    <row r="115" spans="1:45" x14ac:dyDescent="0.35">
      <c r="A115" t="s">
        <v>138</v>
      </c>
      <c r="B115" s="11" t="s">
        <v>8</v>
      </c>
      <c r="C115" s="11">
        <v>4400</v>
      </c>
      <c r="D115" s="12">
        <v>9.0710966666666675</v>
      </c>
      <c r="E115" s="12">
        <v>9.273885276150116</v>
      </c>
      <c r="F115" s="12">
        <v>15.1188285162425</v>
      </c>
      <c r="G115" s="28"/>
      <c r="H115" s="11">
        <v>0</v>
      </c>
      <c r="I115">
        <f>IF(B115="QB",H115*1,0)</f>
        <v>0</v>
      </c>
      <c r="J115">
        <f>IF(B115="RB",H115*1,0)</f>
        <v>0</v>
      </c>
      <c r="K115">
        <f>IF(B115="WR",H115*1,0)</f>
        <v>0</v>
      </c>
      <c r="L115">
        <f>IF(B115="TE",H115*1,0)</f>
        <v>0</v>
      </c>
      <c r="M115">
        <f>IF(B115="DST",H115*1,0)</f>
        <v>0</v>
      </c>
      <c r="X115" s="11">
        <f t="shared" si="7"/>
        <v>1</v>
      </c>
      <c r="Y115" s="9">
        <v>114</v>
      </c>
      <c r="Z115" s="12">
        <f t="shared" si="8"/>
        <v>0</v>
      </c>
      <c r="AK115" t="e" cm="1">
        <f t="array" ref="AK115">_xlfn.IFS(VLOOKUP(AA115,$A$2:$B$1048576,2,FALSE)="QB",AA115,VLOOKUP(AB115,$A$2:$B$1048576,2,FALSE)="QB",AB115,VLOOKUP(AC115,$A$2:$B$1048576,2,FALSE)="QB",AC115,VLOOKUP(AD115,$A$2:$B$1048576,2,FALSE)="QB",AD115,VLOOKUP(AE115,$A$2:$B$1048576,2,FALSE)="QB",AE115,VLOOKUP(AF115,$A$2:$B$1048576,2,FALSE)="QB",AF115,VLOOKUP(AG115,$A$2:$B$1048576,2,FALSE)="QB",AG115,VLOOKUP(AH115,$A$2:$B$1048576,2,FALSE)="QB",AH115,VLOOKUP(AI115,$A$2:$B$1048576,2,FALSE)="QB",AI115)</f>
        <v>#N/A</v>
      </c>
      <c r="AL115" t="e" cm="1">
        <f t="array" ref="AL115">_xlfn.IFS(VLOOKUP(AA115,$A$2:$B$1048576,2,FALSE)="RB",AA115,VLOOKUP(AB115,$A$2:$B$1048576,2,FALSE)="RB",AB115,VLOOKUP(AC115,$A$2:$B$1048576,2,FALSE)="RB",AC115,VLOOKUP(AD115,$A$2:$B$1048576,2,FALSE)="RB",AD115,VLOOKUP(AE115,$A$2:$B$1048576,2,FALSE)="RB",AE115,VLOOKUP(AF115,$A$2:$B$1048576,2,FALSE)="RB",AF115,VLOOKUP(AG115,$A$2:$B$1048576,2,FALSE)="RB",AG115,VLOOKUP(AH115,$A$2:$B$1048576,2,FALSE)="RB",AH115,VLOOKUP(AI115,$A$2:$B$1048576,2,FALSE)="RB",AI115)</f>
        <v>#N/A</v>
      </c>
      <c r="AM115" t="e">
        <f t="shared" si="9"/>
        <v>#N/A</v>
      </c>
      <c r="AN115" t="e" cm="1">
        <f t="array" ref="AN115">_xlfn.IFS(VLOOKUP(AA115,$A$2:$B$1048576,2,FALSE)="WR",AA115,VLOOKUP(AB115,$A$2:$B$1048576,2,FALSE)="WR",AB115,VLOOKUP(AC115,$A$2:$B$1048576,2,FALSE)="WR",AC115,VLOOKUP(AD115,$A$2:$B$1048576,2,FALSE)="WR",AD115,VLOOKUP(AE115,$A$2:$B$1048576,2,FALSE)="WR",AE115,VLOOKUP(AF115,$A$2:$B$1048576,2,FALSE)="WR",AF115,VLOOKUP(AG115,$A$2:$B$1048576,2,FALSE)="WR",AG115,VLOOKUP(AH115,$A$2:$B$1048576,2,FALSE)="WR",AH115,VLOOKUP(AI115,$A$2:$B$1048576,2,FALSE)="WR",AI115)</f>
        <v>#N/A</v>
      </c>
      <c r="AO115" t="e">
        <f t="shared" si="10"/>
        <v>#N/A</v>
      </c>
      <c r="AP115" t="e">
        <f t="shared" si="11"/>
        <v>#N/A</v>
      </c>
      <c r="AQ115" t="e" cm="1">
        <f t="array" ref="AQ115">_xlfn.IFS(VLOOKUP(AA115,$A$2:$B$1048576,2,FALSE)="TE",AA115,VLOOKUP(AB115,$A$2:$B$1048576,2,FALSE)="TE",AB115,VLOOKUP(AC115,$A$2:$B$1048576,2,FALSE)="TE",AC115,VLOOKUP(AD115,$A$2:$B$1048576,2,FALSE)="TE",AD115,VLOOKUP(AE115,$A$2:$B$1048576,2,FALSE)="TE",AE115,VLOOKUP(AF115,$A$2:$B$1048576,2,FALSE)="TE",AF115,VLOOKUP(AG115,$A$2:$B$1048576,2,FALSE)="TE",AG115,VLOOKUP(AH115,$A$2:$B$1048576,2,FALSE)="TE",AH115,VLOOKUP(AI115,$A$2:$B$1048576,2,FALSE)="TE",AI115)</f>
        <v>#N/A</v>
      </c>
      <c r="AR115" t="e" cm="1">
        <f t="array" ref="AR115">_xlfn.IFS(IF(OR(AA115=AK115,AA115=AL115,AA115=AM115,AA115=AN115,AA115=AO115,AA115=AP115,AA115=AQ115,AA115=AS115),1,0)=0,AA115,IF(OR(AB115=AK115,AB115=AL115,AB115=AM115,AB115=AN115,AB115=AO115,AB115=AP115,AB115=AQ115,AB115=AS115),1,0)=0,AB115,IF(OR(AC115=AK115,AC115=AL115,AC115=AM115,AC115=AN115,AC115=AO115,AC115=AP115,AC115=AQ115,AC115=AS115),1,0)=0,AC115,IF(OR(AD115=AK115,AD115=AL115,AD115=AM115,AD115=AN115,AD115=AO115,AD115=AP115,AD115=AQ115,AD115=AS115),1,0)=0,AD115,IF(OR(AE115=AK115,AE115=AL115,AE115=AM115,AE115=AN115,AE115=AO115,AE115=AP115,AE115=AQ115,AE115=AS115),1,0)=0,AE115,IF(OR(AF115=AK115,AF115=AL115,AF115=AM115,AF115=AN115,AF115=AO115,AF115=AP115,AF115=AQ115,AF115=AS115),1,0)=0,AF115,IF(OR(AG115=AK115,AG115=AL115,AG115=AM115,AG115=AN115,AG115=AO115,AG115=AP115,AG115=AQ115,AG115=AS115),1,0)=0,AG115,IF(OR(AH115=AK115,AH115=AL115,AH115=AM115,AH115=AN115,AH115=AO115,AH115=AP115,AH115=AQ115,AH115=AS115),1,0)=0,AH115,IF(OR(AI115=AK115,AI115=AL115,AI115=AM115,AI115=AN115,AI115=AO115,AI115=AP115,AI115=AQ115,AI115=AS115),1,0)=0,AI115)</f>
        <v>#N/A</v>
      </c>
      <c r="AS115" t="e" cm="1">
        <f t="array" ref="AS115">_xlfn.IFS(VLOOKUP(AA115,$A$2:$B$1048576,2,FALSE)="DST",AA115,VLOOKUP(AB115,$A$2:$B$1048576,2,FALSE)="DST",AB115,VLOOKUP(AC115,$A$2:$B$1048576,2,FALSE)="DST",AC115,VLOOKUP(AD115,$A$2:$B$1048576,2,FALSE)="DST",AD115,VLOOKUP(AE115,$A$2:$B$1048576,2,FALSE)="DST",AE115,VLOOKUP(AF115,$A$2:$B$1048576,2,FALSE)="DST",AF115,VLOOKUP(AG115,$A$2:$B$1048576,2,FALSE)="DST",AG115,VLOOKUP(AH115,$A$2:$B$1048576,2,FALSE)="DST",AH115,VLOOKUP(AI115,$A$2:$B$1048576,2,FALSE)="DST",AI115)</f>
        <v>#N/A</v>
      </c>
    </row>
    <row r="116" spans="1:45" x14ac:dyDescent="0.35">
      <c r="A116" t="s">
        <v>139</v>
      </c>
      <c r="B116" s="11" t="s">
        <v>8</v>
      </c>
      <c r="C116" s="11">
        <v>4600</v>
      </c>
      <c r="D116" s="12">
        <v>9.0894300000000019</v>
      </c>
      <c r="E116" s="12">
        <v>10.093530982185754</v>
      </c>
      <c r="F116" s="12">
        <v>15.163187241009336</v>
      </c>
      <c r="H116" s="11">
        <v>0</v>
      </c>
      <c r="I116">
        <f>IF(B116="QB",H116*1,0)</f>
        <v>0</v>
      </c>
      <c r="J116">
        <f>IF(B116="RB",H116*1,0)</f>
        <v>0</v>
      </c>
      <c r="K116">
        <f>IF(B116="WR",H116*1,0)</f>
        <v>0</v>
      </c>
      <c r="L116">
        <f>IF(B116="TE",H116*1,0)</f>
        <v>0</v>
      </c>
      <c r="M116">
        <f>IF(B116="DST",H116*1,0)</f>
        <v>0</v>
      </c>
      <c r="X116" s="11">
        <f t="shared" si="7"/>
        <v>1</v>
      </c>
      <c r="Y116" s="9">
        <v>115</v>
      </c>
      <c r="Z116" s="12">
        <f t="shared" si="8"/>
        <v>0</v>
      </c>
      <c r="AK116" t="e" cm="1">
        <f t="array" ref="AK116">_xlfn.IFS(VLOOKUP(AA116,$A$2:$B$1048576,2,FALSE)="QB",AA116,VLOOKUP(AB116,$A$2:$B$1048576,2,FALSE)="QB",AB116,VLOOKUP(AC116,$A$2:$B$1048576,2,FALSE)="QB",AC116,VLOOKUP(AD116,$A$2:$B$1048576,2,FALSE)="QB",AD116,VLOOKUP(AE116,$A$2:$B$1048576,2,FALSE)="QB",AE116,VLOOKUP(AF116,$A$2:$B$1048576,2,FALSE)="QB",AF116,VLOOKUP(AG116,$A$2:$B$1048576,2,FALSE)="QB",AG116,VLOOKUP(AH116,$A$2:$B$1048576,2,FALSE)="QB",AH116,VLOOKUP(AI116,$A$2:$B$1048576,2,FALSE)="QB",AI116)</f>
        <v>#N/A</v>
      </c>
      <c r="AL116" t="e" cm="1">
        <f t="array" ref="AL116">_xlfn.IFS(VLOOKUP(AA116,$A$2:$B$1048576,2,FALSE)="RB",AA116,VLOOKUP(AB116,$A$2:$B$1048576,2,FALSE)="RB",AB116,VLOOKUP(AC116,$A$2:$B$1048576,2,FALSE)="RB",AC116,VLOOKUP(AD116,$A$2:$B$1048576,2,FALSE)="RB",AD116,VLOOKUP(AE116,$A$2:$B$1048576,2,FALSE)="RB",AE116,VLOOKUP(AF116,$A$2:$B$1048576,2,FALSE)="RB",AF116,VLOOKUP(AG116,$A$2:$B$1048576,2,FALSE)="RB",AG116,VLOOKUP(AH116,$A$2:$B$1048576,2,FALSE)="RB",AH116,VLOOKUP(AI116,$A$2:$B$1048576,2,FALSE)="RB",AI116)</f>
        <v>#N/A</v>
      </c>
      <c r="AM116" t="e">
        <f t="shared" si="9"/>
        <v>#N/A</v>
      </c>
      <c r="AN116" t="e" cm="1">
        <f t="array" ref="AN116">_xlfn.IFS(VLOOKUP(AA116,$A$2:$B$1048576,2,FALSE)="WR",AA116,VLOOKUP(AB116,$A$2:$B$1048576,2,FALSE)="WR",AB116,VLOOKUP(AC116,$A$2:$B$1048576,2,FALSE)="WR",AC116,VLOOKUP(AD116,$A$2:$B$1048576,2,FALSE)="WR",AD116,VLOOKUP(AE116,$A$2:$B$1048576,2,FALSE)="WR",AE116,VLOOKUP(AF116,$A$2:$B$1048576,2,FALSE)="WR",AF116,VLOOKUP(AG116,$A$2:$B$1048576,2,FALSE)="WR",AG116,VLOOKUP(AH116,$A$2:$B$1048576,2,FALSE)="WR",AH116,VLOOKUP(AI116,$A$2:$B$1048576,2,FALSE)="WR",AI116)</f>
        <v>#N/A</v>
      </c>
      <c r="AO116" t="e">
        <f t="shared" si="10"/>
        <v>#N/A</v>
      </c>
      <c r="AP116" t="e">
        <f t="shared" si="11"/>
        <v>#N/A</v>
      </c>
      <c r="AQ116" t="e" cm="1">
        <f t="array" ref="AQ116">_xlfn.IFS(VLOOKUP(AA116,$A$2:$B$1048576,2,FALSE)="TE",AA116,VLOOKUP(AB116,$A$2:$B$1048576,2,FALSE)="TE",AB116,VLOOKUP(AC116,$A$2:$B$1048576,2,FALSE)="TE",AC116,VLOOKUP(AD116,$A$2:$B$1048576,2,FALSE)="TE",AD116,VLOOKUP(AE116,$A$2:$B$1048576,2,FALSE)="TE",AE116,VLOOKUP(AF116,$A$2:$B$1048576,2,FALSE)="TE",AF116,VLOOKUP(AG116,$A$2:$B$1048576,2,FALSE)="TE",AG116,VLOOKUP(AH116,$A$2:$B$1048576,2,FALSE)="TE",AH116,VLOOKUP(AI116,$A$2:$B$1048576,2,FALSE)="TE",AI116)</f>
        <v>#N/A</v>
      </c>
      <c r="AR116" t="e" cm="1">
        <f t="array" ref="AR116">_xlfn.IFS(IF(OR(AA116=AK116,AA116=AL116,AA116=AM116,AA116=AN116,AA116=AO116,AA116=AP116,AA116=AQ116,AA116=AS116),1,0)=0,AA116,IF(OR(AB116=AK116,AB116=AL116,AB116=AM116,AB116=AN116,AB116=AO116,AB116=AP116,AB116=AQ116,AB116=AS116),1,0)=0,AB116,IF(OR(AC116=AK116,AC116=AL116,AC116=AM116,AC116=AN116,AC116=AO116,AC116=AP116,AC116=AQ116,AC116=AS116),1,0)=0,AC116,IF(OR(AD116=AK116,AD116=AL116,AD116=AM116,AD116=AN116,AD116=AO116,AD116=AP116,AD116=AQ116,AD116=AS116),1,0)=0,AD116,IF(OR(AE116=AK116,AE116=AL116,AE116=AM116,AE116=AN116,AE116=AO116,AE116=AP116,AE116=AQ116,AE116=AS116),1,0)=0,AE116,IF(OR(AF116=AK116,AF116=AL116,AF116=AM116,AF116=AN116,AF116=AO116,AF116=AP116,AF116=AQ116,AF116=AS116),1,0)=0,AF116,IF(OR(AG116=AK116,AG116=AL116,AG116=AM116,AG116=AN116,AG116=AO116,AG116=AP116,AG116=AQ116,AG116=AS116),1,0)=0,AG116,IF(OR(AH116=AK116,AH116=AL116,AH116=AM116,AH116=AN116,AH116=AO116,AH116=AP116,AH116=AQ116,AH116=AS116),1,0)=0,AH116,IF(OR(AI116=AK116,AI116=AL116,AI116=AM116,AI116=AN116,AI116=AO116,AI116=AP116,AI116=AQ116,AI116=AS116),1,0)=0,AI116)</f>
        <v>#N/A</v>
      </c>
      <c r="AS116" t="e" cm="1">
        <f t="array" ref="AS116">_xlfn.IFS(VLOOKUP(AA116,$A$2:$B$1048576,2,FALSE)="DST",AA116,VLOOKUP(AB116,$A$2:$B$1048576,2,FALSE)="DST",AB116,VLOOKUP(AC116,$A$2:$B$1048576,2,FALSE)="DST",AC116,VLOOKUP(AD116,$A$2:$B$1048576,2,FALSE)="DST",AD116,VLOOKUP(AE116,$A$2:$B$1048576,2,FALSE)="DST",AE116,VLOOKUP(AF116,$A$2:$B$1048576,2,FALSE)="DST",AF116,VLOOKUP(AG116,$A$2:$B$1048576,2,FALSE)="DST",AG116,VLOOKUP(AH116,$A$2:$B$1048576,2,FALSE)="DST",AH116,VLOOKUP(AI116,$A$2:$B$1048576,2,FALSE)="DST",AI116)</f>
        <v>#N/A</v>
      </c>
    </row>
    <row r="117" spans="1:45" x14ac:dyDescent="0.35">
      <c r="A117" t="s">
        <v>140</v>
      </c>
      <c r="B117" s="11" t="s">
        <v>8</v>
      </c>
      <c r="C117" s="11">
        <v>4200</v>
      </c>
      <c r="D117" s="12">
        <v>8.1334266666666668</v>
      </c>
      <c r="E117" s="12">
        <v>8.1334642779988915</v>
      </c>
      <c r="F117" s="12">
        <v>12.316143722282717</v>
      </c>
      <c r="H117" s="11">
        <v>0</v>
      </c>
      <c r="I117">
        <f>IF(B117="QB",H117*1,0)</f>
        <v>0</v>
      </c>
      <c r="J117">
        <f>IF(B117="RB",H117*1,0)</f>
        <v>0</v>
      </c>
      <c r="K117">
        <f>IF(B117="WR",H117*1,0)</f>
        <v>0</v>
      </c>
      <c r="L117">
        <f>IF(B117="TE",H117*1,0)</f>
        <v>0</v>
      </c>
      <c r="M117">
        <f>IF(B117="DST",H117*1,0)</f>
        <v>0</v>
      </c>
      <c r="X117" s="11">
        <f t="shared" si="7"/>
        <v>1</v>
      </c>
      <c r="Y117" s="9">
        <v>116</v>
      </c>
      <c r="Z117" s="12">
        <f t="shared" si="8"/>
        <v>0</v>
      </c>
      <c r="AK117" t="e" cm="1">
        <f t="array" ref="AK117">_xlfn.IFS(VLOOKUP(AA117,$A$2:$B$1048576,2,FALSE)="QB",AA117,VLOOKUP(AB117,$A$2:$B$1048576,2,FALSE)="QB",AB117,VLOOKUP(AC117,$A$2:$B$1048576,2,FALSE)="QB",AC117,VLOOKUP(AD117,$A$2:$B$1048576,2,FALSE)="QB",AD117,VLOOKUP(AE117,$A$2:$B$1048576,2,FALSE)="QB",AE117,VLOOKUP(AF117,$A$2:$B$1048576,2,FALSE)="QB",AF117,VLOOKUP(AG117,$A$2:$B$1048576,2,FALSE)="QB",AG117,VLOOKUP(AH117,$A$2:$B$1048576,2,FALSE)="QB",AH117,VLOOKUP(AI117,$A$2:$B$1048576,2,FALSE)="QB",AI117)</f>
        <v>#N/A</v>
      </c>
      <c r="AL117" t="e" cm="1">
        <f t="array" ref="AL117">_xlfn.IFS(VLOOKUP(AA117,$A$2:$B$1048576,2,FALSE)="RB",AA117,VLOOKUP(AB117,$A$2:$B$1048576,2,FALSE)="RB",AB117,VLOOKUP(AC117,$A$2:$B$1048576,2,FALSE)="RB",AC117,VLOOKUP(AD117,$A$2:$B$1048576,2,FALSE)="RB",AD117,VLOOKUP(AE117,$A$2:$B$1048576,2,FALSE)="RB",AE117,VLOOKUP(AF117,$A$2:$B$1048576,2,FALSE)="RB",AF117,VLOOKUP(AG117,$A$2:$B$1048576,2,FALSE)="RB",AG117,VLOOKUP(AH117,$A$2:$B$1048576,2,FALSE)="RB",AH117,VLOOKUP(AI117,$A$2:$B$1048576,2,FALSE)="RB",AI117)</f>
        <v>#N/A</v>
      </c>
      <c r="AM117" t="e">
        <f t="shared" si="9"/>
        <v>#N/A</v>
      </c>
      <c r="AN117" t="e" cm="1">
        <f t="array" ref="AN117">_xlfn.IFS(VLOOKUP(AA117,$A$2:$B$1048576,2,FALSE)="WR",AA117,VLOOKUP(AB117,$A$2:$B$1048576,2,FALSE)="WR",AB117,VLOOKUP(AC117,$A$2:$B$1048576,2,FALSE)="WR",AC117,VLOOKUP(AD117,$A$2:$B$1048576,2,FALSE)="WR",AD117,VLOOKUP(AE117,$A$2:$B$1048576,2,FALSE)="WR",AE117,VLOOKUP(AF117,$A$2:$B$1048576,2,FALSE)="WR",AF117,VLOOKUP(AG117,$A$2:$B$1048576,2,FALSE)="WR",AG117,VLOOKUP(AH117,$A$2:$B$1048576,2,FALSE)="WR",AH117,VLOOKUP(AI117,$A$2:$B$1048576,2,FALSE)="WR",AI117)</f>
        <v>#N/A</v>
      </c>
      <c r="AO117" t="e">
        <f t="shared" si="10"/>
        <v>#N/A</v>
      </c>
      <c r="AP117" t="e">
        <f t="shared" si="11"/>
        <v>#N/A</v>
      </c>
      <c r="AQ117" t="e" cm="1">
        <f t="array" ref="AQ117">_xlfn.IFS(VLOOKUP(AA117,$A$2:$B$1048576,2,FALSE)="TE",AA117,VLOOKUP(AB117,$A$2:$B$1048576,2,FALSE)="TE",AB117,VLOOKUP(AC117,$A$2:$B$1048576,2,FALSE)="TE",AC117,VLOOKUP(AD117,$A$2:$B$1048576,2,FALSE)="TE",AD117,VLOOKUP(AE117,$A$2:$B$1048576,2,FALSE)="TE",AE117,VLOOKUP(AF117,$A$2:$B$1048576,2,FALSE)="TE",AF117,VLOOKUP(AG117,$A$2:$B$1048576,2,FALSE)="TE",AG117,VLOOKUP(AH117,$A$2:$B$1048576,2,FALSE)="TE",AH117,VLOOKUP(AI117,$A$2:$B$1048576,2,FALSE)="TE",AI117)</f>
        <v>#N/A</v>
      </c>
      <c r="AR117" t="e" cm="1">
        <f t="array" ref="AR117">_xlfn.IFS(IF(OR(AA117=AK117,AA117=AL117,AA117=AM117,AA117=AN117,AA117=AO117,AA117=AP117,AA117=AQ117,AA117=AS117),1,0)=0,AA117,IF(OR(AB117=AK117,AB117=AL117,AB117=AM117,AB117=AN117,AB117=AO117,AB117=AP117,AB117=AQ117,AB117=AS117),1,0)=0,AB117,IF(OR(AC117=AK117,AC117=AL117,AC117=AM117,AC117=AN117,AC117=AO117,AC117=AP117,AC117=AQ117,AC117=AS117),1,0)=0,AC117,IF(OR(AD117=AK117,AD117=AL117,AD117=AM117,AD117=AN117,AD117=AO117,AD117=AP117,AD117=AQ117,AD117=AS117),1,0)=0,AD117,IF(OR(AE117=AK117,AE117=AL117,AE117=AM117,AE117=AN117,AE117=AO117,AE117=AP117,AE117=AQ117,AE117=AS117),1,0)=0,AE117,IF(OR(AF117=AK117,AF117=AL117,AF117=AM117,AF117=AN117,AF117=AO117,AF117=AP117,AF117=AQ117,AF117=AS117),1,0)=0,AF117,IF(OR(AG117=AK117,AG117=AL117,AG117=AM117,AG117=AN117,AG117=AO117,AG117=AP117,AG117=AQ117,AG117=AS117),1,0)=0,AG117,IF(OR(AH117=AK117,AH117=AL117,AH117=AM117,AH117=AN117,AH117=AO117,AH117=AP117,AH117=AQ117,AH117=AS117),1,0)=0,AH117,IF(OR(AI117=AK117,AI117=AL117,AI117=AM117,AI117=AN117,AI117=AO117,AI117=AP117,AI117=AQ117,AI117=AS117),1,0)=0,AI117)</f>
        <v>#N/A</v>
      </c>
      <c r="AS117" t="e" cm="1">
        <f t="array" ref="AS117">_xlfn.IFS(VLOOKUP(AA117,$A$2:$B$1048576,2,FALSE)="DST",AA117,VLOOKUP(AB117,$A$2:$B$1048576,2,FALSE)="DST",AB117,VLOOKUP(AC117,$A$2:$B$1048576,2,FALSE)="DST",AC117,VLOOKUP(AD117,$A$2:$B$1048576,2,FALSE)="DST",AD117,VLOOKUP(AE117,$A$2:$B$1048576,2,FALSE)="DST",AE117,VLOOKUP(AF117,$A$2:$B$1048576,2,FALSE)="DST",AF117,VLOOKUP(AG117,$A$2:$B$1048576,2,FALSE)="DST",AG117,VLOOKUP(AH117,$A$2:$B$1048576,2,FALSE)="DST",AH117,VLOOKUP(AI117,$A$2:$B$1048576,2,FALSE)="DST",AI117)</f>
        <v>#N/A</v>
      </c>
    </row>
    <row r="118" spans="1:45" x14ac:dyDescent="0.35">
      <c r="A118" t="s">
        <v>141</v>
      </c>
      <c r="B118" s="11" t="s">
        <v>8</v>
      </c>
      <c r="C118" s="11">
        <v>5100</v>
      </c>
      <c r="D118" s="12">
        <v>8</v>
      </c>
      <c r="E118" s="12">
        <v>8.4364909206752543</v>
      </c>
      <c r="F118" s="12">
        <v>11.887254901960784</v>
      </c>
      <c r="H118" s="11">
        <v>0</v>
      </c>
      <c r="I118">
        <f>IF(B118="QB",H118*1,0)</f>
        <v>0</v>
      </c>
      <c r="J118">
        <f>IF(B118="RB",H118*1,0)</f>
        <v>0</v>
      </c>
      <c r="K118">
        <f>IF(B118="WR",H118*1,0)</f>
        <v>0</v>
      </c>
      <c r="L118">
        <f>IF(B118="TE",H118*1,0)</f>
        <v>0</v>
      </c>
      <c r="M118">
        <f>IF(B118="DST",H118*1,0)</f>
        <v>0</v>
      </c>
      <c r="X118" s="11">
        <f t="shared" si="7"/>
        <v>1</v>
      </c>
      <c r="Y118" s="9">
        <v>117</v>
      </c>
      <c r="Z118" s="12">
        <f t="shared" si="8"/>
        <v>0</v>
      </c>
      <c r="AK118" t="e" cm="1">
        <f t="array" ref="AK118">_xlfn.IFS(VLOOKUP(AA118,$A$2:$B$1048576,2,FALSE)="QB",AA118,VLOOKUP(AB118,$A$2:$B$1048576,2,FALSE)="QB",AB118,VLOOKUP(AC118,$A$2:$B$1048576,2,FALSE)="QB",AC118,VLOOKUP(AD118,$A$2:$B$1048576,2,FALSE)="QB",AD118,VLOOKUP(AE118,$A$2:$B$1048576,2,FALSE)="QB",AE118,VLOOKUP(AF118,$A$2:$B$1048576,2,FALSE)="QB",AF118,VLOOKUP(AG118,$A$2:$B$1048576,2,FALSE)="QB",AG118,VLOOKUP(AH118,$A$2:$B$1048576,2,FALSE)="QB",AH118,VLOOKUP(AI118,$A$2:$B$1048576,2,FALSE)="QB",AI118)</f>
        <v>#N/A</v>
      </c>
      <c r="AL118" t="e" cm="1">
        <f t="array" ref="AL118">_xlfn.IFS(VLOOKUP(AA118,$A$2:$B$1048576,2,FALSE)="RB",AA118,VLOOKUP(AB118,$A$2:$B$1048576,2,FALSE)="RB",AB118,VLOOKUP(AC118,$A$2:$B$1048576,2,FALSE)="RB",AC118,VLOOKUP(AD118,$A$2:$B$1048576,2,FALSE)="RB",AD118,VLOOKUP(AE118,$A$2:$B$1048576,2,FALSE)="RB",AE118,VLOOKUP(AF118,$A$2:$B$1048576,2,FALSE)="RB",AF118,VLOOKUP(AG118,$A$2:$B$1048576,2,FALSE)="RB",AG118,VLOOKUP(AH118,$A$2:$B$1048576,2,FALSE)="RB",AH118,VLOOKUP(AI118,$A$2:$B$1048576,2,FALSE)="RB",AI118)</f>
        <v>#N/A</v>
      </c>
      <c r="AM118" t="e">
        <f t="shared" si="9"/>
        <v>#N/A</v>
      </c>
      <c r="AN118" t="e" cm="1">
        <f t="array" ref="AN118">_xlfn.IFS(VLOOKUP(AA118,$A$2:$B$1048576,2,FALSE)="WR",AA118,VLOOKUP(AB118,$A$2:$B$1048576,2,FALSE)="WR",AB118,VLOOKUP(AC118,$A$2:$B$1048576,2,FALSE)="WR",AC118,VLOOKUP(AD118,$A$2:$B$1048576,2,FALSE)="WR",AD118,VLOOKUP(AE118,$A$2:$B$1048576,2,FALSE)="WR",AE118,VLOOKUP(AF118,$A$2:$B$1048576,2,FALSE)="WR",AF118,VLOOKUP(AG118,$A$2:$B$1048576,2,FALSE)="WR",AG118,VLOOKUP(AH118,$A$2:$B$1048576,2,FALSE)="WR",AH118,VLOOKUP(AI118,$A$2:$B$1048576,2,FALSE)="WR",AI118)</f>
        <v>#N/A</v>
      </c>
      <c r="AO118" t="e">
        <f t="shared" si="10"/>
        <v>#N/A</v>
      </c>
      <c r="AP118" t="e">
        <f t="shared" si="11"/>
        <v>#N/A</v>
      </c>
      <c r="AQ118" t="e" cm="1">
        <f t="array" ref="AQ118">_xlfn.IFS(VLOOKUP(AA118,$A$2:$B$1048576,2,FALSE)="TE",AA118,VLOOKUP(AB118,$A$2:$B$1048576,2,FALSE)="TE",AB118,VLOOKUP(AC118,$A$2:$B$1048576,2,FALSE)="TE",AC118,VLOOKUP(AD118,$A$2:$B$1048576,2,FALSE)="TE",AD118,VLOOKUP(AE118,$A$2:$B$1048576,2,FALSE)="TE",AE118,VLOOKUP(AF118,$A$2:$B$1048576,2,FALSE)="TE",AF118,VLOOKUP(AG118,$A$2:$B$1048576,2,FALSE)="TE",AG118,VLOOKUP(AH118,$A$2:$B$1048576,2,FALSE)="TE",AH118,VLOOKUP(AI118,$A$2:$B$1048576,2,FALSE)="TE",AI118)</f>
        <v>#N/A</v>
      </c>
      <c r="AR118" t="e" cm="1">
        <f t="array" ref="AR118">_xlfn.IFS(IF(OR(AA118=AK118,AA118=AL118,AA118=AM118,AA118=AN118,AA118=AO118,AA118=AP118,AA118=AQ118,AA118=AS118),1,0)=0,AA118,IF(OR(AB118=AK118,AB118=AL118,AB118=AM118,AB118=AN118,AB118=AO118,AB118=AP118,AB118=AQ118,AB118=AS118),1,0)=0,AB118,IF(OR(AC118=AK118,AC118=AL118,AC118=AM118,AC118=AN118,AC118=AO118,AC118=AP118,AC118=AQ118,AC118=AS118),1,0)=0,AC118,IF(OR(AD118=AK118,AD118=AL118,AD118=AM118,AD118=AN118,AD118=AO118,AD118=AP118,AD118=AQ118,AD118=AS118),1,0)=0,AD118,IF(OR(AE118=AK118,AE118=AL118,AE118=AM118,AE118=AN118,AE118=AO118,AE118=AP118,AE118=AQ118,AE118=AS118),1,0)=0,AE118,IF(OR(AF118=AK118,AF118=AL118,AF118=AM118,AF118=AN118,AF118=AO118,AF118=AP118,AF118=AQ118,AF118=AS118),1,0)=0,AF118,IF(OR(AG118=AK118,AG118=AL118,AG118=AM118,AG118=AN118,AG118=AO118,AG118=AP118,AG118=AQ118,AG118=AS118),1,0)=0,AG118,IF(OR(AH118=AK118,AH118=AL118,AH118=AM118,AH118=AN118,AH118=AO118,AH118=AP118,AH118=AQ118,AH118=AS118),1,0)=0,AH118,IF(OR(AI118=AK118,AI118=AL118,AI118=AM118,AI118=AN118,AI118=AO118,AI118=AP118,AI118=AQ118,AI118=AS118),1,0)=0,AI118)</f>
        <v>#N/A</v>
      </c>
      <c r="AS118" t="e" cm="1">
        <f t="array" ref="AS118">_xlfn.IFS(VLOOKUP(AA118,$A$2:$B$1048576,2,FALSE)="DST",AA118,VLOOKUP(AB118,$A$2:$B$1048576,2,FALSE)="DST",AB118,VLOOKUP(AC118,$A$2:$B$1048576,2,FALSE)="DST",AC118,VLOOKUP(AD118,$A$2:$B$1048576,2,FALSE)="DST",AD118,VLOOKUP(AE118,$A$2:$B$1048576,2,FALSE)="DST",AE118,VLOOKUP(AF118,$A$2:$B$1048576,2,FALSE)="DST",AF118,VLOOKUP(AG118,$A$2:$B$1048576,2,FALSE)="DST",AG118,VLOOKUP(AH118,$A$2:$B$1048576,2,FALSE)="DST",AH118,VLOOKUP(AI118,$A$2:$B$1048576,2,FALSE)="DST",AI118)</f>
        <v>#N/A</v>
      </c>
    </row>
    <row r="119" spans="1:45" x14ac:dyDescent="0.35">
      <c r="A119" t="s">
        <v>142</v>
      </c>
      <c r="B119" s="11" t="s">
        <v>8</v>
      </c>
      <c r="C119" s="11">
        <v>4000</v>
      </c>
      <c r="D119" s="12">
        <v>7.7410966666666656</v>
      </c>
      <c r="E119" s="12">
        <v>7.7632459301205188</v>
      </c>
      <c r="F119" s="12">
        <v>11.149587840158409</v>
      </c>
      <c r="H119" s="11">
        <v>0</v>
      </c>
      <c r="I119">
        <f>IF(B119="QB",H119*1,0)</f>
        <v>0</v>
      </c>
      <c r="J119">
        <f>IF(B119="RB",H119*1,0)</f>
        <v>0</v>
      </c>
      <c r="K119">
        <f>IF(B119="WR",H119*1,0)</f>
        <v>0</v>
      </c>
      <c r="L119">
        <f>IF(B119="TE",H119*1,0)</f>
        <v>0</v>
      </c>
      <c r="M119">
        <f>IF(B119="DST",H119*1,0)</f>
        <v>0</v>
      </c>
      <c r="X119" s="11">
        <f t="shared" si="7"/>
        <v>1</v>
      </c>
      <c r="Y119" s="9">
        <v>118</v>
      </c>
      <c r="Z119" s="12">
        <f t="shared" si="8"/>
        <v>0</v>
      </c>
      <c r="AK119" t="e" cm="1">
        <f t="array" ref="AK119">_xlfn.IFS(VLOOKUP(AA119,$A$2:$B$1048576,2,FALSE)="QB",AA119,VLOOKUP(AB119,$A$2:$B$1048576,2,FALSE)="QB",AB119,VLOOKUP(AC119,$A$2:$B$1048576,2,FALSE)="QB",AC119,VLOOKUP(AD119,$A$2:$B$1048576,2,FALSE)="QB",AD119,VLOOKUP(AE119,$A$2:$B$1048576,2,FALSE)="QB",AE119,VLOOKUP(AF119,$A$2:$B$1048576,2,FALSE)="QB",AF119,VLOOKUP(AG119,$A$2:$B$1048576,2,FALSE)="QB",AG119,VLOOKUP(AH119,$A$2:$B$1048576,2,FALSE)="QB",AH119,VLOOKUP(AI119,$A$2:$B$1048576,2,FALSE)="QB",AI119)</f>
        <v>#N/A</v>
      </c>
      <c r="AL119" t="e" cm="1">
        <f t="array" ref="AL119">_xlfn.IFS(VLOOKUP(AA119,$A$2:$B$1048576,2,FALSE)="RB",AA119,VLOOKUP(AB119,$A$2:$B$1048576,2,FALSE)="RB",AB119,VLOOKUP(AC119,$A$2:$B$1048576,2,FALSE)="RB",AC119,VLOOKUP(AD119,$A$2:$B$1048576,2,FALSE)="RB",AD119,VLOOKUP(AE119,$A$2:$B$1048576,2,FALSE)="RB",AE119,VLOOKUP(AF119,$A$2:$B$1048576,2,FALSE)="RB",AF119,VLOOKUP(AG119,$A$2:$B$1048576,2,FALSE)="RB",AG119,VLOOKUP(AH119,$A$2:$B$1048576,2,FALSE)="RB",AH119,VLOOKUP(AI119,$A$2:$B$1048576,2,FALSE)="RB",AI119)</f>
        <v>#N/A</v>
      </c>
      <c r="AM119" t="e">
        <f t="shared" si="9"/>
        <v>#N/A</v>
      </c>
      <c r="AN119" t="e" cm="1">
        <f t="array" ref="AN119">_xlfn.IFS(VLOOKUP(AA119,$A$2:$B$1048576,2,FALSE)="WR",AA119,VLOOKUP(AB119,$A$2:$B$1048576,2,FALSE)="WR",AB119,VLOOKUP(AC119,$A$2:$B$1048576,2,FALSE)="WR",AC119,VLOOKUP(AD119,$A$2:$B$1048576,2,FALSE)="WR",AD119,VLOOKUP(AE119,$A$2:$B$1048576,2,FALSE)="WR",AE119,VLOOKUP(AF119,$A$2:$B$1048576,2,FALSE)="WR",AF119,VLOOKUP(AG119,$A$2:$B$1048576,2,FALSE)="WR",AG119,VLOOKUP(AH119,$A$2:$B$1048576,2,FALSE)="WR",AH119,VLOOKUP(AI119,$A$2:$B$1048576,2,FALSE)="WR",AI119)</f>
        <v>#N/A</v>
      </c>
      <c r="AO119" t="e">
        <f t="shared" si="10"/>
        <v>#N/A</v>
      </c>
      <c r="AP119" t="e">
        <f t="shared" si="11"/>
        <v>#N/A</v>
      </c>
      <c r="AQ119" t="e" cm="1">
        <f t="array" ref="AQ119">_xlfn.IFS(VLOOKUP(AA119,$A$2:$B$1048576,2,FALSE)="TE",AA119,VLOOKUP(AB119,$A$2:$B$1048576,2,FALSE)="TE",AB119,VLOOKUP(AC119,$A$2:$B$1048576,2,FALSE)="TE",AC119,VLOOKUP(AD119,$A$2:$B$1048576,2,FALSE)="TE",AD119,VLOOKUP(AE119,$A$2:$B$1048576,2,FALSE)="TE",AE119,VLOOKUP(AF119,$A$2:$B$1048576,2,FALSE)="TE",AF119,VLOOKUP(AG119,$A$2:$B$1048576,2,FALSE)="TE",AG119,VLOOKUP(AH119,$A$2:$B$1048576,2,FALSE)="TE",AH119,VLOOKUP(AI119,$A$2:$B$1048576,2,FALSE)="TE",AI119)</f>
        <v>#N/A</v>
      </c>
      <c r="AR119" t="e" cm="1">
        <f t="array" ref="AR119">_xlfn.IFS(IF(OR(AA119=AK119,AA119=AL119,AA119=AM119,AA119=AN119,AA119=AO119,AA119=AP119,AA119=AQ119,AA119=AS119),1,0)=0,AA119,IF(OR(AB119=AK119,AB119=AL119,AB119=AM119,AB119=AN119,AB119=AO119,AB119=AP119,AB119=AQ119,AB119=AS119),1,0)=0,AB119,IF(OR(AC119=AK119,AC119=AL119,AC119=AM119,AC119=AN119,AC119=AO119,AC119=AP119,AC119=AQ119,AC119=AS119),1,0)=0,AC119,IF(OR(AD119=AK119,AD119=AL119,AD119=AM119,AD119=AN119,AD119=AO119,AD119=AP119,AD119=AQ119,AD119=AS119),1,0)=0,AD119,IF(OR(AE119=AK119,AE119=AL119,AE119=AM119,AE119=AN119,AE119=AO119,AE119=AP119,AE119=AQ119,AE119=AS119),1,0)=0,AE119,IF(OR(AF119=AK119,AF119=AL119,AF119=AM119,AF119=AN119,AF119=AO119,AF119=AP119,AF119=AQ119,AF119=AS119),1,0)=0,AF119,IF(OR(AG119=AK119,AG119=AL119,AG119=AM119,AG119=AN119,AG119=AO119,AG119=AP119,AG119=AQ119,AG119=AS119),1,0)=0,AG119,IF(OR(AH119=AK119,AH119=AL119,AH119=AM119,AH119=AN119,AH119=AO119,AH119=AP119,AH119=AQ119,AH119=AS119),1,0)=0,AH119,IF(OR(AI119=AK119,AI119=AL119,AI119=AM119,AI119=AN119,AI119=AO119,AI119=AP119,AI119=AQ119,AI119=AS119),1,0)=0,AI119)</f>
        <v>#N/A</v>
      </c>
      <c r="AS119" t="e" cm="1">
        <f t="array" ref="AS119">_xlfn.IFS(VLOOKUP(AA119,$A$2:$B$1048576,2,FALSE)="DST",AA119,VLOOKUP(AB119,$A$2:$B$1048576,2,FALSE)="DST",AB119,VLOOKUP(AC119,$A$2:$B$1048576,2,FALSE)="DST",AC119,VLOOKUP(AD119,$A$2:$B$1048576,2,FALSE)="DST",AD119,VLOOKUP(AE119,$A$2:$B$1048576,2,FALSE)="DST",AE119,VLOOKUP(AF119,$A$2:$B$1048576,2,FALSE)="DST",AF119,VLOOKUP(AG119,$A$2:$B$1048576,2,FALSE)="DST",AG119,VLOOKUP(AH119,$A$2:$B$1048576,2,FALSE)="DST",AH119,VLOOKUP(AI119,$A$2:$B$1048576,2,FALSE)="DST",AI119)</f>
        <v>#N/A</v>
      </c>
    </row>
    <row r="120" spans="1:45" x14ac:dyDescent="0.35">
      <c r="A120" t="s">
        <v>143</v>
      </c>
      <c r="B120" s="11" t="s">
        <v>8</v>
      </c>
      <c r="C120" s="11">
        <v>4000</v>
      </c>
      <c r="D120" s="12">
        <v>7</v>
      </c>
      <c r="E120" s="12">
        <v>7.1365376125641831</v>
      </c>
      <c r="F120" s="12">
        <v>8.9354166666666668</v>
      </c>
      <c r="H120" s="11">
        <v>0</v>
      </c>
      <c r="I120">
        <f>IF(B120="QB",H120*1,0)</f>
        <v>0</v>
      </c>
      <c r="J120">
        <f>IF(B120="RB",H120*1,0)</f>
        <v>0</v>
      </c>
      <c r="K120">
        <f>IF(B120="WR",H120*1,0)</f>
        <v>0</v>
      </c>
      <c r="L120">
        <f>IF(B120="TE",H120*1,0)</f>
        <v>0</v>
      </c>
      <c r="M120">
        <f>IF(B120="DST",H120*1,0)</f>
        <v>0</v>
      </c>
      <c r="X120" s="11">
        <f t="shared" si="7"/>
        <v>1</v>
      </c>
      <c r="Y120" s="9">
        <v>119</v>
      </c>
      <c r="Z120" s="12">
        <f t="shared" si="8"/>
        <v>0</v>
      </c>
      <c r="AK120" t="e" cm="1">
        <f t="array" ref="AK120">_xlfn.IFS(VLOOKUP(AA120,$A$2:$B$1048576,2,FALSE)="QB",AA120,VLOOKUP(AB120,$A$2:$B$1048576,2,FALSE)="QB",AB120,VLOOKUP(AC120,$A$2:$B$1048576,2,FALSE)="QB",AC120,VLOOKUP(AD120,$A$2:$B$1048576,2,FALSE)="QB",AD120,VLOOKUP(AE120,$A$2:$B$1048576,2,FALSE)="QB",AE120,VLOOKUP(AF120,$A$2:$B$1048576,2,FALSE)="QB",AF120,VLOOKUP(AG120,$A$2:$B$1048576,2,FALSE)="QB",AG120,VLOOKUP(AH120,$A$2:$B$1048576,2,FALSE)="QB",AH120,VLOOKUP(AI120,$A$2:$B$1048576,2,FALSE)="QB",AI120)</f>
        <v>#N/A</v>
      </c>
      <c r="AL120" t="e" cm="1">
        <f t="array" ref="AL120">_xlfn.IFS(VLOOKUP(AA120,$A$2:$B$1048576,2,FALSE)="RB",AA120,VLOOKUP(AB120,$A$2:$B$1048576,2,FALSE)="RB",AB120,VLOOKUP(AC120,$A$2:$B$1048576,2,FALSE)="RB",AC120,VLOOKUP(AD120,$A$2:$B$1048576,2,FALSE)="RB",AD120,VLOOKUP(AE120,$A$2:$B$1048576,2,FALSE)="RB",AE120,VLOOKUP(AF120,$A$2:$B$1048576,2,FALSE)="RB",AF120,VLOOKUP(AG120,$A$2:$B$1048576,2,FALSE)="RB",AG120,VLOOKUP(AH120,$A$2:$B$1048576,2,FALSE)="RB",AH120,VLOOKUP(AI120,$A$2:$B$1048576,2,FALSE)="RB",AI120)</f>
        <v>#N/A</v>
      </c>
      <c r="AM120" t="e">
        <f t="shared" si="9"/>
        <v>#N/A</v>
      </c>
      <c r="AN120" t="e" cm="1">
        <f t="array" ref="AN120">_xlfn.IFS(VLOOKUP(AA120,$A$2:$B$1048576,2,FALSE)="WR",AA120,VLOOKUP(AB120,$A$2:$B$1048576,2,FALSE)="WR",AB120,VLOOKUP(AC120,$A$2:$B$1048576,2,FALSE)="WR",AC120,VLOOKUP(AD120,$A$2:$B$1048576,2,FALSE)="WR",AD120,VLOOKUP(AE120,$A$2:$B$1048576,2,FALSE)="WR",AE120,VLOOKUP(AF120,$A$2:$B$1048576,2,FALSE)="WR",AF120,VLOOKUP(AG120,$A$2:$B$1048576,2,FALSE)="WR",AG120,VLOOKUP(AH120,$A$2:$B$1048576,2,FALSE)="WR",AH120,VLOOKUP(AI120,$A$2:$B$1048576,2,FALSE)="WR",AI120)</f>
        <v>#N/A</v>
      </c>
      <c r="AO120" t="e">
        <f t="shared" si="10"/>
        <v>#N/A</v>
      </c>
      <c r="AP120" t="e">
        <f t="shared" si="11"/>
        <v>#N/A</v>
      </c>
      <c r="AQ120" t="e" cm="1">
        <f t="array" ref="AQ120">_xlfn.IFS(VLOOKUP(AA120,$A$2:$B$1048576,2,FALSE)="TE",AA120,VLOOKUP(AB120,$A$2:$B$1048576,2,FALSE)="TE",AB120,VLOOKUP(AC120,$A$2:$B$1048576,2,FALSE)="TE",AC120,VLOOKUP(AD120,$A$2:$B$1048576,2,FALSE)="TE",AD120,VLOOKUP(AE120,$A$2:$B$1048576,2,FALSE)="TE",AE120,VLOOKUP(AF120,$A$2:$B$1048576,2,FALSE)="TE",AF120,VLOOKUP(AG120,$A$2:$B$1048576,2,FALSE)="TE",AG120,VLOOKUP(AH120,$A$2:$B$1048576,2,FALSE)="TE",AH120,VLOOKUP(AI120,$A$2:$B$1048576,2,FALSE)="TE",AI120)</f>
        <v>#N/A</v>
      </c>
      <c r="AR120" t="e" cm="1">
        <f t="array" ref="AR120">_xlfn.IFS(IF(OR(AA120=AK120,AA120=AL120,AA120=AM120,AA120=AN120,AA120=AO120,AA120=AP120,AA120=AQ120,AA120=AS120),1,0)=0,AA120,IF(OR(AB120=AK120,AB120=AL120,AB120=AM120,AB120=AN120,AB120=AO120,AB120=AP120,AB120=AQ120,AB120=AS120),1,0)=0,AB120,IF(OR(AC120=AK120,AC120=AL120,AC120=AM120,AC120=AN120,AC120=AO120,AC120=AP120,AC120=AQ120,AC120=AS120),1,0)=0,AC120,IF(OR(AD120=AK120,AD120=AL120,AD120=AM120,AD120=AN120,AD120=AO120,AD120=AP120,AD120=AQ120,AD120=AS120),1,0)=0,AD120,IF(OR(AE120=AK120,AE120=AL120,AE120=AM120,AE120=AN120,AE120=AO120,AE120=AP120,AE120=AQ120,AE120=AS120),1,0)=0,AE120,IF(OR(AF120=AK120,AF120=AL120,AF120=AM120,AF120=AN120,AF120=AO120,AF120=AP120,AF120=AQ120,AF120=AS120),1,0)=0,AF120,IF(OR(AG120=AK120,AG120=AL120,AG120=AM120,AG120=AN120,AG120=AO120,AG120=AP120,AG120=AQ120,AG120=AS120),1,0)=0,AG120,IF(OR(AH120=AK120,AH120=AL120,AH120=AM120,AH120=AN120,AH120=AO120,AH120=AP120,AH120=AQ120,AH120=AS120),1,0)=0,AH120,IF(OR(AI120=AK120,AI120=AL120,AI120=AM120,AI120=AN120,AI120=AO120,AI120=AP120,AI120=AQ120,AI120=AS120),1,0)=0,AI120)</f>
        <v>#N/A</v>
      </c>
      <c r="AS120" t="e" cm="1">
        <f t="array" ref="AS120">_xlfn.IFS(VLOOKUP(AA120,$A$2:$B$1048576,2,FALSE)="DST",AA120,VLOOKUP(AB120,$A$2:$B$1048576,2,FALSE)="DST",AB120,VLOOKUP(AC120,$A$2:$B$1048576,2,FALSE)="DST",AC120,VLOOKUP(AD120,$A$2:$B$1048576,2,FALSE)="DST",AD120,VLOOKUP(AE120,$A$2:$B$1048576,2,FALSE)="DST",AE120,VLOOKUP(AF120,$A$2:$B$1048576,2,FALSE)="DST",AF120,VLOOKUP(AG120,$A$2:$B$1048576,2,FALSE)="DST",AG120,VLOOKUP(AH120,$A$2:$B$1048576,2,FALSE)="DST",AH120,VLOOKUP(AI120,$A$2:$B$1048576,2,FALSE)="DST",AI120)</f>
        <v>#N/A</v>
      </c>
    </row>
    <row r="121" spans="1:45" x14ac:dyDescent="0.35">
      <c r="A121" t="s">
        <v>144</v>
      </c>
      <c r="B121" s="11" t="s">
        <v>8</v>
      </c>
      <c r="C121" s="11">
        <v>4000</v>
      </c>
      <c r="D121" s="12">
        <v>6.0638049999999994</v>
      </c>
      <c r="E121" s="12">
        <v>6.0882956035610096</v>
      </c>
      <c r="F121" s="12">
        <v>6.1498009818189301</v>
      </c>
      <c r="H121" s="11">
        <v>0</v>
      </c>
      <c r="I121">
        <f>IF(B121="QB",H121*1,0)</f>
        <v>0</v>
      </c>
      <c r="J121">
        <f>IF(B121="RB",H121*1,0)</f>
        <v>0</v>
      </c>
      <c r="K121">
        <f>IF(B121="WR",H121*1,0)</f>
        <v>0</v>
      </c>
      <c r="L121">
        <f>IF(B121="TE",H121*1,0)</f>
        <v>0</v>
      </c>
      <c r="M121">
        <f>IF(B121="DST",H121*1,0)</f>
        <v>0</v>
      </c>
      <c r="X121" s="11">
        <f t="shared" si="7"/>
        <v>1</v>
      </c>
      <c r="Y121" s="9">
        <v>120</v>
      </c>
      <c r="Z121" s="12">
        <f t="shared" si="8"/>
        <v>0</v>
      </c>
      <c r="AK121" t="e" cm="1">
        <f t="array" ref="AK121">_xlfn.IFS(VLOOKUP(AA121,$A$2:$B$1048576,2,FALSE)="QB",AA121,VLOOKUP(AB121,$A$2:$B$1048576,2,FALSE)="QB",AB121,VLOOKUP(AC121,$A$2:$B$1048576,2,FALSE)="QB",AC121,VLOOKUP(AD121,$A$2:$B$1048576,2,FALSE)="QB",AD121,VLOOKUP(AE121,$A$2:$B$1048576,2,FALSE)="QB",AE121,VLOOKUP(AF121,$A$2:$B$1048576,2,FALSE)="QB",AF121,VLOOKUP(AG121,$A$2:$B$1048576,2,FALSE)="QB",AG121,VLOOKUP(AH121,$A$2:$B$1048576,2,FALSE)="QB",AH121,VLOOKUP(AI121,$A$2:$B$1048576,2,FALSE)="QB",AI121)</f>
        <v>#N/A</v>
      </c>
      <c r="AL121" t="e" cm="1">
        <f t="array" ref="AL121">_xlfn.IFS(VLOOKUP(AA121,$A$2:$B$1048576,2,FALSE)="RB",AA121,VLOOKUP(AB121,$A$2:$B$1048576,2,FALSE)="RB",AB121,VLOOKUP(AC121,$A$2:$B$1048576,2,FALSE)="RB",AC121,VLOOKUP(AD121,$A$2:$B$1048576,2,FALSE)="RB",AD121,VLOOKUP(AE121,$A$2:$B$1048576,2,FALSE)="RB",AE121,VLOOKUP(AF121,$A$2:$B$1048576,2,FALSE)="RB",AF121,VLOOKUP(AG121,$A$2:$B$1048576,2,FALSE)="RB",AG121,VLOOKUP(AH121,$A$2:$B$1048576,2,FALSE)="RB",AH121,VLOOKUP(AI121,$A$2:$B$1048576,2,FALSE)="RB",AI121)</f>
        <v>#N/A</v>
      </c>
      <c r="AM121" t="e">
        <f t="shared" si="9"/>
        <v>#N/A</v>
      </c>
      <c r="AN121" t="e" cm="1">
        <f t="array" ref="AN121">_xlfn.IFS(VLOOKUP(AA121,$A$2:$B$1048576,2,FALSE)="WR",AA121,VLOOKUP(AB121,$A$2:$B$1048576,2,FALSE)="WR",AB121,VLOOKUP(AC121,$A$2:$B$1048576,2,FALSE)="WR",AC121,VLOOKUP(AD121,$A$2:$B$1048576,2,FALSE)="WR",AD121,VLOOKUP(AE121,$A$2:$B$1048576,2,FALSE)="WR",AE121,VLOOKUP(AF121,$A$2:$B$1048576,2,FALSE)="WR",AF121,VLOOKUP(AG121,$A$2:$B$1048576,2,FALSE)="WR",AG121,VLOOKUP(AH121,$A$2:$B$1048576,2,FALSE)="WR",AH121,VLOOKUP(AI121,$A$2:$B$1048576,2,FALSE)="WR",AI121)</f>
        <v>#N/A</v>
      </c>
      <c r="AO121" t="e">
        <f t="shared" si="10"/>
        <v>#N/A</v>
      </c>
      <c r="AP121" t="e">
        <f t="shared" si="11"/>
        <v>#N/A</v>
      </c>
      <c r="AQ121" t="e" cm="1">
        <f t="array" ref="AQ121">_xlfn.IFS(VLOOKUP(AA121,$A$2:$B$1048576,2,FALSE)="TE",AA121,VLOOKUP(AB121,$A$2:$B$1048576,2,FALSE)="TE",AB121,VLOOKUP(AC121,$A$2:$B$1048576,2,FALSE)="TE",AC121,VLOOKUP(AD121,$A$2:$B$1048576,2,FALSE)="TE",AD121,VLOOKUP(AE121,$A$2:$B$1048576,2,FALSE)="TE",AE121,VLOOKUP(AF121,$A$2:$B$1048576,2,FALSE)="TE",AF121,VLOOKUP(AG121,$A$2:$B$1048576,2,FALSE)="TE",AG121,VLOOKUP(AH121,$A$2:$B$1048576,2,FALSE)="TE",AH121,VLOOKUP(AI121,$A$2:$B$1048576,2,FALSE)="TE",AI121)</f>
        <v>#N/A</v>
      </c>
      <c r="AR121" t="e" cm="1">
        <f t="array" ref="AR121">_xlfn.IFS(IF(OR(AA121=AK121,AA121=AL121,AA121=AM121,AA121=AN121,AA121=AO121,AA121=AP121,AA121=AQ121,AA121=AS121),1,0)=0,AA121,IF(OR(AB121=AK121,AB121=AL121,AB121=AM121,AB121=AN121,AB121=AO121,AB121=AP121,AB121=AQ121,AB121=AS121),1,0)=0,AB121,IF(OR(AC121=AK121,AC121=AL121,AC121=AM121,AC121=AN121,AC121=AO121,AC121=AP121,AC121=AQ121,AC121=AS121),1,0)=0,AC121,IF(OR(AD121=AK121,AD121=AL121,AD121=AM121,AD121=AN121,AD121=AO121,AD121=AP121,AD121=AQ121,AD121=AS121),1,0)=0,AD121,IF(OR(AE121=AK121,AE121=AL121,AE121=AM121,AE121=AN121,AE121=AO121,AE121=AP121,AE121=AQ121,AE121=AS121),1,0)=0,AE121,IF(OR(AF121=AK121,AF121=AL121,AF121=AM121,AF121=AN121,AF121=AO121,AF121=AP121,AF121=AQ121,AF121=AS121),1,0)=0,AF121,IF(OR(AG121=AK121,AG121=AL121,AG121=AM121,AG121=AN121,AG121=AO121,AG121=AP121,AG121=AQ121,AG121=AS121),1,0)=0,AG121,IF(OR(AH121=AK121,AH121=AL121,AH121=AM121,AH121=AN121,AH121=AO121,AH121=AP121,AH121=AQ121,AH121=AS121),1,0)=0,AH121,IF(OR(AI121=AK121,AI121=AL121,AI121=AM121,AI121=AN121,AI121=AO121,AI121=AP121,AI121=AQ121,AI121=AS121),1,0)=0,AI121)</f>
        <v>#N/A</v>
      </c>
      <c r="AS121" t="e" cm="1">
        <f t="array" ref="AS121">_xlfn.IFS(VLOOKUP(AA121,$A$2:$B$1048576,2,FALSE)="DST",AA121,VLOOKUP(AB121,$A$2:$B$1048576,2,FALSE)="DST",AB121,VLOOKUP(AC121,$A$2:$B$1048576,2,FALSE)="DST",AC121,VLOOKUP(AD121,$A$2:$B$1048576,2,FALSE)="DST",AD121,VLOOKUP(AE121,$A$2:$B$1048576,2,FALSE)="DST",AE121,VLOOKUP(AF121,$A$2:$B$1048576,2,FALSE)="DST",AF121,VLOOKUP(AG121,$A$2:$B$1048576,2,FALSE)="DST",AG121,VLOOKUP(AH121,$A$2:$B$1048576,2,FALSE)="DST",AH121,VLOOKUP(AI121,$A$2:$B$1048576,2,FALSE)="DST",AI121)</f>
        <v>#N/A</v>
      </c>
    </row>
    <row r="122" spans="1:45" x14ac:dyDescent="0.35">
      <c r="A122" t="s">
        <v>145</v>
      </c>
      <c r="B122" s="11" t="s">
        <v>8</v>
      </c>
      <c r="C122" s="11">
        <v>4000</v>
      </c>
      <c r="D122" s="12">
        <v>6.0638049999999994</v>
      </c>
      <c r="E122" s="12">
        <v>6.0646043225962556</v>
      </c>
      <c r="F122" s="12">
        <v>6.1498009818189301</v>
      </c>
      <c r="H122" s="11">
        <v>0</v>
      </c>
      <c r="I122">
        <f>IF(B122="QB",H122*1,0)</f>
        <v>0</v>
      </c>
      <c r="J122">
        <f>IF(B122="RB",H122*1,0)</f>
        <v>0</v>
      </c>
      <c r="K122">
        <f>IF(B122="WR",H122*1,0)</f>
        <v>0</v>
      </c>
      <c r="L122">
        <f>IF(B122="TE",H122*1,0)</f>
        <v>0</v>
      </c>
      <c r="M122">
        <f>IF(B122="DST",H122*1,0)</f>
        <v>0</v>
      </c>
      <c r="X122" s="11">
        <f t="shared" si="7"/>
        <v>1</v>
      </c>
      <c r="Y122" s="9">
        <v>121</v>
      </c>
      <c r="Z122" s="12">
        <f t="shared" si="8"/>
        <v>0</v>
      </c>
      <c r="AK122" t="e" cm="1">
        <f t="array" ref="AK122">_xlfn.IFS(VLOOKUP(AA122,$A$2:$B$1048576,2,FALSE)="QB",AA122,VLOOKUP(AB122,$A$2:$B$1048576,2,FALSE)="QB",AB122,VLOOKUP(AC122,$A$2:$B$1048576,2,FALSE)="QB",AC122,VLOOKUP(AD122,$A$2:$B$1048576,2,FALSE)="QB",AD122,VLOOKUP(AE122,$A$2:$B$1048576,2,FALSE)="QB",AE122,VLOOKUP(AF122,$A$2:$B$1048576,2,FALSE)="QB",AF122,VLOOKUP(AG122,$A$2:$B$1048576,2,FALSE)="QB",AG122,VLOOKUP(AH122,$A$2:$B$1048576,2,FALSE)="QB",AH122,VLOOKUP(AI122,$A$2:$B$1048576,2,FALSE)="QB",AI122)</f>
        <v>#N/A</v>
      </c>
      <c r="AL122" t="e" cm="1">
        <f t="array" ref="AL122">_xlfn.IFS(VLOOKUP(AA122,$A$2:$B$1048576,2,FALSE)="RB",AA122,VLOOKUP(AB122,$A$2:$B$1048576,2,FALSE)="RB",AB122,VLOOKUP(AC122,$A$2:$B$1048576,2,FALSE)="RB",AC122,VLOOKUP(AD122,$A$2:$B$1048576,2,FALSE)="RB",AD122,VLOOKUP(AE122,$A$2:$B$1048576,2,FALSE)="RB",AE122,VLOOKUP(AF122,$A$2:$B$1048576,2,FALSE)="RB",AF122,VLOOKUP(AG122,$A$2:$B$1048576,2,FALSE)="RB",AG122,VLOOKUP(AH122,$A$2:$B$1048576,2,FALSE)="RB",AH122,VLOOKUP(AI122,$A$2:$B$1048576,2,FALSE)="RB",AI122)</f>
        <v>#N/A</v>
      </c>
      <c r="AM122" t="e">
        <f t="shared" si="9"/>
        <v>#N/A</v>
      </c>
      <c r="AN122" t="e" cm="1">
        <f t="array" ref="AN122">_xlfn.IFS(VLOOKUP(AA122,$A$2:$B$1048576,2,FALSE)="WR",AA122,VLOOKUP(AB122,$A$2:$B$1048576,2,FALSE)="WR",AB122,VLOOKUP(AC122,$A$2:$B$1048576,2,FALSE)="WR",AC122,VLOOKUP(AD122,$A$2:$B$1048576,2,FALSE)="WR",AD122,VLOOKUP(AE122,$A$2:$B$1048576,2,FALSE)="WR",AE122,VLOOKUP(AF122,$A$2:$B$1048576,2,FALSE)="WR",AF122,VLOOKUP(AG122,$A$2:$B$1048576,2,FALSE)="WR",AG122,VLOOKUP(AH122,$A$2:$B$1048576,2,FALSE)="WR",AH122,VLOOKUP(AI122,$A$2:$B$1048576,2,FALSE)="WR",AI122)</f>
        <v>#N/A</v>
      </c>
      <c r="AO122" t="e">
        <f t="shared" si="10"/>
        <v>#N/A</v>
      </c>
      <c r="AP122" t="e">
        <f t="shared" si="11"/>
        <v>#N/A</v>
      </c>
      <c r="AQ122" t="e" cm="1">
        <f t="array" ref="AQ122">_xlfn.IFS(VLOOKUP(AA122,$A$2:$B$1048576,2,FALSE)="TE",AA122,VLOOKUP(AB122,$A$2:$B$1048576,2,FALSE)="TE",AB122,VLOOKUP(AC122,$A$2:$B$1048576,2,FALSE)="TE",AC122,VLOOKUP(AD122,$A$2:$B$1048576,2,FALSE)="TE",AD122,VLOOKUP(AE122,$A$2:$B$1048576,2,FALSE)="TE",AE122,VLOOKUP(AF122,$A$2:$B$1048576,2,FALSE)="TE",AF122,VLOOKUP(AG122,$A$2:$B$1048576,2,FALSE)="TE",AG122,VLOOKUP(AH122,$A$2:$B$1048576,2,FALSE)="TE",AH122,VLOOKUP(AI122,$A$2:$B$1048576,2,FALSE)="TE",AI122)</f>
        <v>#N/A</v>
      </c>
      <c r="AR122" t="e" cm="1">
        <f t="array" ref="AR122">_xlfn.IFS(IF(OR(AA122=AK122,AA122=AL122,AA122=AM122,AA122=AN122,AA122=AO122,AA122=AP122,AA122=AQ122,AA122=AS122),1,0)=0,AA122,IF(OR(AB122=AK122,AB122=AL122,AB122=AM122,AB122=AN122,AB122=AO122,AB122=AP122,AB122=AQ122,AB122=AS122),1,0)=0,AB122,IF(OR(AC122=AK122,AC122=AL122,AC122=AM122,AC122=AN122,AC122=AO122,AC122=AP122,AC122=AQ122,AC122=AS122),1,0)=0,AC122,IF(OR(AD122=AK122,AD122=AL122,AD122=AM122,AD122=AN122,AD122=AO122,AD122=AP122,AD122=AQ122,AD122=AS122),1,0)=0,AD122,IF(OR(AE122=AK122,AE122=AL122,AE122=AM122,AE122=AN122,AE122=AO122,AE122=AP122,AE122=AQ122,AE122=AS122),1,0)=0,AE122,IF(OR(AF122=AK122,AF122=AL122,AF122=AM122,AF122=AN122,AF122=AO122,AF122=AP122,AF122=AQ122,AF122=AS122),1,0)=0,AF122,IF(OR(AG122=AK122,AG122=AL122,AG122=AM122,AG122=AN122,AG122=AO122,AG122=AP122,AG122=AQ122,AG122=AS122),1,0)=0,AG122,IF(OR(AH122=AK122,AH122=AL122,AH122=AM122,AH122=AN122,AH122=AO122,AH122=AP122,AH122=AQ122,AH122=AS122),1,0)=0,AH122,IF(OR(AI122=AK122,AI122=AL122,AI122=AM122,AI122=AN122,AI122=AO122,AI122=AP122,AI122=AQ122,AI122=AS122),1,0)=0,AI122)</f>
        <v>#N/A</v>
      </c>
      <c r="AS122" t="e" cm="1">
        <f t="array" ref="AS122">_xlfn.IFS(VLOOKUP(AA122,$A$2:$B$1048576,2,FALSE)="DST",AA122,VLOOKUP(AB122,$A$2:$B$1048576,2,FALSE)="DST",AB122,VLOOKUP(AC122,$A$2:$B$1048576,2,FALSE)="DST",AC122,VLOOKUP(AD122,$A$2:$B$1048576,2,FALSE)="DST",AD122,VLOOKUP(AE122,$A$2:$B$1048576,2,FALSE)="DST",AE122,VLOOKUP(AF122,$A$2:$B$1048576,2,FALSE)="DST",AF122,VLOOKUP(AG122,$A$2:$B$1048576,2,FALSE)="DST",AG122,VLOOKUP(AH122,$A$2:$B$1048576,2,FALSE)="DST",AH122,VLOOKUP(AI122,$A$2:$B$1048576,2,FALSE)="DST",AI122)</f>
        <v>#N/A</v>
      </c>
    </row>
    <row r="123" spans="1:45" x14ac:dyDescent="0.35">
      <c r="A123" t="s">
        <v>146</v>
      </c>
      <c r="B123" s="11" t="s">
        <v>8</v>
      </c>
      <c r="C123" s="11">
        <v>4700</v>
      </c>
      <c r="D123" s="12">
        <v>6</v>
      </c>
      <c r="E123" s="12">
        <v>6.0000000080896676</v>
      </c>
      <c r="F123" s="12">
        <v>5.9539007092198579</v>
      </c>
      <c r="H123" s="11">
        <v>0</v>
      </c>
      <c r="I123">
        <f>IF(B123="QB",H123*1,0)</f>
        <v>0</v>
      </c>
      <c r="J123">
        <f>IF(B123="RB",H123*1,0)</f>
        <v>0</v>
      </c>
      <c r="K123">
        <f>IF(B123="WR",H123*1,0)</f>
        <v>0</v>
      </c>
      <c r="L123">
        <f>IF(B123="TE",H123*1,0)</f>
        <v>0</v>
      </c>
      <c r="M123">
        <f>IF(B123="DST",H123*1,0)</f>
        <v>0</v>
      </c>
      <c r="X123" s="11">
        <f t="shared" si="7"/>
        <v>1</v>
      </c>
      <c r="Y123" s="9">
        <v>122</v>
      </c>
      <c r="Z123" s="12">
        <f t="shared" si="8"/>
        <v>0</v>
      </c>
      <c r="AK123" t="e" cm="1">
        <f t="array" ref="AK123">_xlfn.IFS(VLOOKUP(AA123,$A$2:$B$1048576,2,FALSE)="QB",AA123,VLOOKUP(AB123,$A$2:$B$1048576,2,FALSE)="QB",AB123,VLOOKUP(AC123,$A$2:$B$1048576,2,FALSE)="QB",AC123,VLOOKUP(AD123,$A$2:$B$1048576,2,FALSE)="QB",AD123,VLOOKUP(AE123,$A$2:$B$1048576,2,FALSE)="QB",AE123,VLOOKUP(AF123,$A$2:$B$1048576,2,FALSE)="QB",AF123,VLOOKUP(AG123,$A$2:$B$1048576,2,FALSE)="QB",AG123,VLOOKUP(AH123,$A$2:$B$1048576,2,FALSE)="QB",AH123,VLOOKUP(AI123,$A$2:$B$1048576,2,FALSE)="QB",AI123)</f>
        <v>#N/A</v>
      </c>
      <c r="AL123" t="e" cm="1">
        <f t="array" ref="AL123">_xlfn.IFS(VLOOKUP(AA123,$A$2:$B$1048576,2,FALSE)="RB",AA123,VLOOKUP(AB123,$A$2:$B$1048576,2,FALSE)="RB",AB123,VLOOKUP(AC123,$A$2:$B$1048576,2,FALSE)="RB",AC123,VLOOKUP(AD123,$A$2:$B$1048576,2,FALSE)="RB",AD123,VLOOKUP(AE123,$A$2:$B$1048576,2,FALSE)="RB",AE123,VLOOKUP(AF123,$A$2:$B$1048576,2,FALSE)="RB",AF123,VLOOKUP(AG123,$A$2:$B$1048576,2,FALSE)="RB",AG123,VLOOKUP(AH123,$A$2:$B$1048576,2,FALSE)="RB",AH123,VLOOKUP(AI123,$A$2:$B$1048576,2,FALSE)="RB",AI123)</f>
        <v>#N/A</v>
      </c>
      <c r="AM123" t="e">
        <f t="shared" si="9"/>
        <v>#N/A</v>
      </c>
      <c r="AN123" t="e" cm="1">
        <f t="array" ref="AN123">_xlfn.IFS(VLOOKUP(AA123,$A$2:$B$1048576,2,FALSE)="WR",AA123,VLOOKUP(AB123,$A$2:$B$1048576,2,FALSE)="WR",AB123,VLOOKUP(AC123,$A$2:$B$1048576,2,FALSE)="WR",AC123,VLOOKUP(AD123,$A$2:$B$1048576,2,FALSE)="WR",AD123,VLOOKUP(AE123,$A$2:$B$1048576,2,FALSE)="WR",AE123,VLOOKUP(AF123,$A$2:$B$1048576,2,FALSE)="WR",AF123,VLOOKUP(AG123,$A$2:$B$1048576,2,FALSE)="WR",AG123,VLOOKUP(AH123,$A$2:$B$1048576,2,FALSE)="WR",AH123,VLOOKUP(AI123,$A$2:$B$1048576,2,FALSE)="WR",AI123)</f>
        <v>#N/A</v>
      </c>
      <c r="AO123" t="e">
        <f t="shared" si="10"/>
        <v>#N/A</v>
      </c>
      <c r="AP123" t="e">
        <f t="shared" si="11"/>
        <v>#N/A</v>
      </c>
      <c r="AQ123" t="e" cm="1">
        <f t="array" ref="AQ123">_xlfn.IFS(VLOOKUP(AA123,$A$2:$B$1048576,2,FALSE)="TE",AA123,VLOOKUP(AB123,$A$2:$B$1048576,2,FALSE)="TE",AB123,VLOOKUP(AC123,$A$2:$B$1048576,2,FALSE)="TE",AC123,VLOOKUP(AD123,$A$2:$B$1048576,2,FALSE)="TE",AD123,VLOOKUP(AE123,$A$2:$B$1048576,2,FALSE)="TE",AE123,VLOOKUP(AF123,$A$2:$B$1048576,2,FALSE)="TE",AF123,VLOOKUP(AG123,$A$2:$B$1048576,2,FALSE)="TE",AG123,VLOOKUP(AH123,$A$2:$B$1048576,2,FALSE)="TE",AH123,VLOOKUP(AI123,$A$2:$B$1048576,2,FALSE)="TE",AI123)</f>
        <v>#N/A</v>
      </c>
      <c r="AR123" t="e" cm="1">
        <f t="array" ref="AR123">_xlfn.IFS(IF(OR(AA123=AK123,AA123=AL123,AA123=AM123,AA123=AN123,AA123=AO123,AA123=AP123,AA123=AQ123,AA123=AS123),1,0)=0,AA123,IF(OR(AB123=AK123,AB123=AL123,AB123=AM123,AB123=AN123,AB123=AO123,AB123=AP123,AB123=AQ123,AB123=AS123),1,0)=0,AB123,IF(OR(AC123=AK123,AC123=AL123,AC123=AM123,AC123=AN123,AC123=AO123,AC123=AP123,AC123=AQ123,AC123=AS123),1,0)=0,AC123,IF(OR(AD123=AK123,AD123=AL123,AD123=AM123,AD123=AN123,AD123=AO123,AD123=AP123,AD123=AQ123,AD123=AS123),1,0)=0,AD123,IF(OR(AE123=AK123,AE123=AL123,AE123=AM123,AE123=AN123,AE123=AO123,AE123=AP123,AE123=AQ123,AE123=AS123),1,0)=0,AE123,IF(OR(AF123=AK123,AF123=AL123,AF123=AM123,AF123=AN123,AF123=AO123,AF123=AP123,AF123=AQ123,AF123=AS123),1,0)=0,AF123,IF(OR(AG123=AK123,AG123=AL123,AG123=AM123,AG123=AN123,AG123=AO123,AG123=AP123,AG123=AQ123,AG123=AS123),1,0)=0,AG123,IF(OR(AH123=AK123,AH123=AL123,AH123=AM123,AH123=AN123,AH123=AO123,AH123=AP123,AH123=AQ123,AH123=AS123),1,0)=0,AH123,IF(OR(AI123=AK123,AI123=AL123,AI123=AM123,AI123=AN123,AI123=AO123,AI123=AP123,AI123=AQ123,AI123=AS123),1,0)=0,AI123)</f>
        <v>#N/A</v>
      </c>
      <c r="AS123" t="e" cm="1">
        <f t="array" ref="AS123">_xlfn.IFS(VLOOKUP(AA123,$A$2:$B$1048576,2,FALSE)="DST",AA123,VLOOKUP(AB123,$A$2:$B$1048576,2,FALSE)="DST",AB123,VLOOKUP(AC123,$A$2:$B$1048576,2,FALSE)="DST",AC123,VLOOKUP(AD123,$A$2:$B$1048576,2,FALSE)="DST",AD123,VLOOKUP(AE123,$A$2:$B$1048576,2,FALSE)="DST",AE123,VLOOKUP(AF123,$A$2:$B$1048576,2,FALSE)="DST",AF123,VLOOKUP(AG123,$A$2:$B$1048576,2,FALSE)="DST",AG123,VLOOKUP(AH123,$A$2:$B$1048576,2,FALSE)="DST",AH123,VLOOKUP(AI123,$A$2:$B$1048576,2,FALSE)="DST",AI123)</f>
        <v>#N/A</v>
      </c>
    </row>
    <row r="124" spans="1:45" x14ac:dyDescent="0.35">
      <c r="A124" t="s">
        <v>147</v>
      </c>
      <c r="B124" s="11" t="s">
        <v>7</v>
      </c>
      <c r="C124" s="11">
        <v>7000</v>
      </c>
      <c r="D124" s="12">
        <v>26.612183333333334</v>
      </c>
      <c r="E124" s="12">
        <v>28.754959116729324</v>
      </c>
      <c r="F124" s="12">
        <v>68.431982160140066</v>
      </c>
      <c r="H124" s="11">
        <v>0</v>
      </c>
      <c r="I124">
        <f>IF(B124="QB",H124*1,0)</f>
        <v>0</v>
      </c>
      <c r="J124">
        <f>IF(B124="RB",H124*1,0)</f>
        <v>0</v>
      </c>
      <c r="K124">
        <f>IF(B124="WR",H124*1,0)</f>
        <v>0</v>
      </c>
      <c r="L124">
        <f>IF(B124="TE",H124*1,0)</f>
        <v>0</v>
      </c>
      <c r="M124">
        <f>IF(B124="DST",H124*1,0)</f>
        <v>0</v>
      </c>
      <c r="X124" s="11">
        <f t="shared" si="7"/>
        <v>1</v>
      </c>
      <c r="Y124" s="9">
        <v>123</v>
      </c>
      <c r="Z124" s="12">
        <f t="shared" si="8"/>
        <v>0</v>
      </c>
      <c r="AK124" t="e" cm="1">
        <f t="array" ref="AK124">_xlfn.IFS(VLOOKUP(AA124,$A$2:$B$1048576,2,FALSE)="QB",AA124,VLOOKUP(AB124,$A$2:$B$1048576,2,FALSE)="QB",AB124,VLOOKUP(AC124,$A$2:$B$1048576,2,FALSE)="QB",AC124,VLOOKUP(AD124,$A$2:$B$1048576,2,FALSE)="QB",AD124,VLOOKUP(AE124,$A$2:$B$1048576,2,FALSE)="QB",AE124,VLOOKUP(AF124,$A$2:$B$1048576,2,FALSE)="QB",AF124,VLOOKUP(AG124,$A$2:$B$1048576,2,FALSE)="QB",AG124,VLOOKUP(AH124,$A$2:$B$1048576,2,FALSE)="QB",AH124,VLOOKUP(AI124,$A$2:$B$1048576,2,FALSE)="QB",AI124)</f>
        <v>#N/A</v>
      </c>
      <c r="AL124" t="e" cm="1">
        <f t="array" ref="AL124">_xlfn.IFS(VLOOKUP(AA124,$A$2:$B$1048576,2,FALSE)="RB",AA124,VLOOKUP(AB124,$A$2:$B$1048576,2,FALSE)="RB",AB124,VLOOKUP(AC124,$A$2:$B$1048576,2,FALSE)="RB",AC124,VLOOKUP(AD124,$A$2:$B$1048576,2,FALSE)="RB",AD124,VLOOKUP(AE124,$A$2:$B$1048576,2,FALSE)="RB",AE124,VLOOKUP(AF124,$A$2:$B$1048576,2,FALSE)="RB",AF124,VLOOKUP(AG124,$A$2:$B$1048576,2,FALSE)="RB",AG124,VLOOKUP(AH124,$A$2:$B$1048576,2,FALSE)="RB",AH124,VLOOKUP(AI124,$A$2:$B$1048576,2,FALSE)="RB",AI124)</f>
        <v>#N/A</v>
      </c>
      <c r="AM124" t="e">
        <f t="shared" si="9"/>
        <v>#N/A</v>
      </c>
      <c r="AN124" t="e" cm="1">
        <f t="array" ref="AN124">_xlfn.IFS(VLOOKUP(AA124,$A$2:$B$1048576,2,FALSE)="WR",AA124,VLOOKUP(AB124,$A$2:$B$1048576,2,FALSE)="WR",AB124,VLOOKUP(AC124,$A$2:$B$1048576,2,FALSE)="WR",AC124,VLOOKUP(AD124,$A$2:$B$1048576,2,FALSE)="WR",AD124,VLOOKUP(AE124,$A$2:$B$1048576,2,FALSE)="WR",AE124,VLOOKUP(AF124,$A$2:$B$1048576,2,FALSE)="WR",AF124,VLOOKUP(AG124,$A$2:$B$1048576,2,FALSE)="WR",AG124,VLOOKUP(AH124,$A$2:$B$1048576,2,FALSE)="WR",AH124,VLOOKUP(AI124,$A$2:$B$1048576,2,FALSE)="WR",AI124)</f>
        <v>#N/A</v>
      </c>
      <c r="AO124" t="e">
        <f t="shared" si="10"/>
        <v>#N/A</v>
      </c>
      <c r="AP124" t="e">
        <f t="shared" si="11"/>
        <v>#N/A</v>
      </c>
      <c r="AQ124" t="e" cm="1">
        <f t="array" ref="AQ124">_xlfn.IFS(VLOOKUP(AA124,$A$2:$B$1048576,2,FALSE)="TE",AA124,VLOOKUP(AB124,$A$2:$B$1048576,2,FALSE)="TE",AB124,VLOOKUP(AC124,$A$2:$B$1048576,2,FALSE)="TE",AC124,VLOOKUP(AD124,$A$2:$B$1048576,2,FALSE)="TE",AD124,VLOOKUP(AE124,$A$2:$B$1048576,2,FALSE)="TE",AE124,VLOOKUP(AF124,$A$2:$B$1048576,2,FALSE)="TE",AF124,VLOOKUP(AG124,$A$2:$B$1048576,2,FALSE)="TE",AG124,VLOOKUP(AH124,$A$2:$B$1048576,2,FALSE)="TE",AH124,VLOOKUP(AI124,$A$2:$B$1048576,2,FALSE)="TE",AI124)</f>
        <v>#N/A</v>
      </c>
      <c r="AR124" t="e" cm="1">
        <f t="array" ref="AR124">_xlfn.IFS(IF(OR(AA124=AK124,AA124=AL124,AA124=AM124,AA124=AN124,AA124=AO124,AA124=AP124,AA124=AQ124,AA124=AS124),1,0)=0,AA124,IF(OR(AB124=AK124,AB124=AL124,AB124=AM124,AB124=AN124,AB124=AO124,AB124=AP124,AB124=AQ124,AB124=AS124),1,0)=0,AB124,IF(OR(AC124=AK124,AC124=AL124,AC124=AM124,AC124=AN124,AC124=AO124,AC124=AP124,AC124=AQ124,AC124=AS124),1,0)=0,AC124,IF(OR(AD124=AK124,AD124=AL124,AD124=AM124,AD124=AN124,AD124=AO124,AD124=AP124,AD124=AQ124,AD124=AS124),1,0)=0,AD124,IF(OR(AE124=AK124,AE124=AL124,AE124=AM124,AE124=AN124,AE124=AO124,AE124=AP124,AE124=AQ124,AE124=AS124),1,0)=0,AE124,IF(OR(AF124=AK124,AF124=AL124,AF124=AM124,AF124=AN124,AF124=AO124,AF124=AP124,AF124=AQ124,AF124=AS124),1,0)=0,AF124,IF(OR(AG124=AK124,AG124=AL124,AG124=AM124,AG124=AN124,AG124=AO124,AG124=AP124,AG124=AQ124,AG124=AS124),1,0)=0,AG124,IF(OR(AH124=AK124,AH124=AL124,AH124=AM124,AH124=AN124,AH124=AO124,AH124=AP124,AH124=AQ124,AH124=AS124),1,0)=0,AH124,IF(OR(AI124=AK124,AI124=AL124,AI124=AM124,AI124=AN124,AI124=AO124,AI124=AP124,AI124=AQ124,AI124=AS124),1,0)=0,AI124)</f>
        <v>#N/A</v>
      </c>
      <c r="AS124" t="e" cm="1">
        <f t="array" ref="AS124">_xlfn.IFS(VLOOKUP(AA124,$A$2:$B$1048576,2,FALSE)="DST",AA124,VLOOKUP(AB124,$A$2:$B$1048576,2,FALSE)="DST",AB124,VLOOKUP(AC124,$A$2:$B$1048576,2,FALSE)="DST",AC124,VLOOKUP(AD124,$A$2:$B$1048576,2,FALSE)="DST",AD124,VLOOKUP(AE124,$A$2:$B$1048576,2,FALSE)="DST",AE124,VLOOKUP(AF124,$A$2:$B$1048576,2,FALSE)="DST",AF124,VLOOKUP(AG124,$A$2:$B$1048576,2,FALSE)="DST",AG124,VLOOKUP(AH124,$A$2:$B$1048576,2,FALSE)="DST",AH124,VLOOKUP(AI124,$A$2:$B$1048576,2,FALSE)="DST",AI124)</f>
        <v>#N/A</v>
      </c>
    </row>
    <row r="125" spans="1:45" x14ac:dyDescent="0.35">
      <c r="A125" t="s">
        <v>148</v>
      </c>
      <c r="B125" s="11" t="s">
        <v>7</v>
      </c>
      <c r="C125" s="11">
        <v>5800</v>
      </c>
      <c r="D125" s="12">
        <v>20.042766666666665</v>
      </c>
      <c r="E125" s="12">
        <v>21.277332593532801</v>
      </c>
      <c r="F125" s="12">
        <v>48.390893177381059</v>
      </c>
      <c r="H125" s="11">
        <v>0</v>
      </c>
      <c r="I125">
        <f>IF(B125="QB",H125*1,0)</f>
        <v>0</v>
      </c>
      <c r="J125">
        <f>IF(B125="RB",H125*1,0)</f>
        <v>0</v>
      </c>
      <c r="K125">
        <f>IF(B125="WR",H125*1,0)</f>
        <v>0</v>
      </c>
      <c r="L125">
        <f>IF(B125="TE",H125*1,0)</f>
        <v>0</v>
      </c>
      <c r="M125">
        <f>IF(B125="DST",H125*1,0)</f>
        <v>0</v>
      </c>
      <c r="X125" s="11">
        <f t="shared" si="7"/>
        <v>1</v>
      </c>
      <c r="Y125" s="9">
        <v>124</v>
      </c>
      <c r="Z125" s="12">
        <f t="shared" si="8"/>
        <v>0</v>
      </c>
      <c r="AK125" t="e" cm="1">
        <f t="array" ref="AK125">_xlfn.IFS(VLOOKUP(AA125,$A$2:$B$1048576,2,FALSE)="QB",AA125,VLOOKUP(AB125,$A$2:$B$1048576,2,FALSE)="QB",AB125,VLOOKUP(AC125,$A$2:$B$1048576,2,FALSE)="QB",AC125,VLOOKUP(AD125,$A$2:$B$1048576,2,FALSE)="QB",AD125,VLOOKUP(AE125,$A$2:$B$1048576,2,FALSE)="QB",AE125,VLOOKUP(AF125,$A$2:$B$1048576,2,FALSE)="QB",AF125,VLOOKUP(AG125,$A$2:$B$1048576,2,FALSE)="QB",AG125,VLOOKUP(AH125,$A$2:$B$1048576,2,FALSE)="QB",AH125,VLOOKUP(AI125,$A$2:$B$1048576,2,FALSE)="QB",AI125)</f>
        <v>#N/A</v>
      </c>
      <c r="AL125" t="e" cm="1">
        <f t="array" ref="AL125">_xlfn.IFS(VLOOKUP(AA125,$A$2:$B$1048576,2,FALSE)="RB",AA125,VLOOKUP(AB125,$A$2:$B$1048576,2,FALSE)="RB",AB125,VLOOKUP(AC125,$A$2:$B$1048576,2,FALSE)="RB",AC125,VLOOKUP(AD125,$A$2:$B$1048576,2,FALSE)="RB",AD125,VLOOKUP(AE125,$A$2:$B$1048576,2,FALSE)="RB",AE125,VLOOKUP(AF125,$A$2:$B$1048576,2,FALSE)="RB",AF125,VLOOKUP(AG125,$A$2:$B$1048576,2,FALSE)="RB",AG125,VLOOKUP(AH125,$A$2:$B$1048576,2,FALSE)="RB",AH125,VLOOKUP(AI125,$A$2:$B$1048576,2,FALSE)="RB",AI125)</f>
        <v>#N/A</v>
      </c>
      <c r="AM125" t="e">
        <f t="shared" si="9"/>
        <v>#N/A</v>
      </c>
      <c r="AN125" t="e" cm="1">
        <f t="array" ref="AN125">_xlfn.IFS(VLOOKUP(AA125,$A$2:$B$1048576,2,FALSE)="WR",AA125,VLOOKUP(AB125,$A$2:$B$1048576,2,FALSE)="WR",AB125,VLOOKUP(AC125,$A$2:$B$1048576,2,FALSE)="WR",AC125,VLOOKUP(AD125,$A$2:$B$1048576,2,FALSE)="WR",AD125,VLOOKUP(AE125,$A$2:$B$1048576,2,FALSE)="WR",AE125,VLOOKUP(AF125,$A$2:$B$1048576,2,FALSE)="WR",AF125,VLOOKUP(AG125,$A$2:$B$1048576,2,FALSE)="WR",AG125,VLOOKUP(AH125,$A$2:$B$1048576,2,FALSE)="WR",AH125,VLOOKUP(AI125,$A$2:$B$1048576,2,FALSE)="WR",AI125)</f>
        <v>#N/A</v>
      </c>
      <c r="AO125" t="e">
        <f t="shared" si="10"/>
        <v>#N/A</v>
      </c>
      <c r="AP125" t="e">
        <f t="shared" si="11"/>
        <v>#N/A</v>
      </c>
      <c r="AQ125" t="e" cm="1">
        <f t="array" ref="AQ125">_xlfn.IFS(VLOOKUP(AA125,$A$2:$B$1048576,2,FALSE)="TE",AA125,VLOOKUP(AB125,$A$2:$B$1048576,2,FALSE)="TE",AB125,VLOOKUP(AC125,$A$2:$B$1048576,2,FALSE)="TE",AC125,VLOOKUP(AD125,$A$2:$B$1048576,2,FALSE)="TE",AD125,VLOOKUP(AE125,$A$2:$B$1048576,2,FALSE)="TE",AE125,VLOOKUP(AF125,$A$2:$B$1048576,2,FALSE)="TE",AF125,VLOOKUP(AG125,$A$2:$B$1048576,2,FALSE)="TE",AG125,VLOOKUP(AH125,$A$2:$B$1048576,2,FALSE)="TE",AH125,VLOOKUP(AI125,$A$2:$B$1048576,2,FALSE)="TE",AI125)</f>
        <v>#N/A</v>
      </c>
      <c r="AR125" t="e" cm="1">
        <f t="array" ref="AR125">_xlfn.IFS(IF(OR(AA125=AK125,AA125=AL125,AA125=AM125,AA125=AN125,AA125=AO125,AA125=AP125,AA125=AQ125,AA125=AS125),1,0)=0,AA125,IF(OR(AB125=AK125,AB125=AL125,AB125=AM125,AB125=AN125,AB125=AO125,AB125=AP125,AB125=AQ125,AB125=AS125),1,0)=0,AB125,IF(OR(AC125=AK125,AC125=AL125,AC125=AM125,AC125=AN125,AC125=AO125,AC125=AP125,AC125=AQ125,AC125=AS125),1,0)=0,AC125,IF(OR(AD125=AK125,AD125=AL125,AD125=AM125,AD125=AN125,AD125=AO125,AD125=AP125,AD125=AQ125,AD125=AS125),1,0)=0,AD125,IF(OR(AE125=AK125,AE125=AL125,AE125=AM125,AE125=AN125,AE125=AO125,AE125=AP125,AE125=AQ125,AE125=AS125),1,0)=0,AE125,IF(OR(AF125=AK125,AF125=AL125,AF125=AM125,AF125=AN125,AF125=AO125,AF125=AP125,AF125=AQ125,AF125=AS125),1,0)=0,AF125,IF(OR(AG125=AK125,AG125=AL125,AG125=AM125,AG125=AN125,AG125=AO125,AG125=AP125,AG125=AQ125,AG125=AS125),1,0)=0,AG125,IF(OR(AH125=AK125,AH125=AL125,AH125=AM125,AH125=AN125,AH125=AO125,AH125=AP125,AH125=AQ125,AH125=AS125),1,0)=0,AH125,IF(OR(AI125=AK125,AI125=AL125,AI125=AM125,AI125=AN125,AI125=AO125,AI125=AP125,AI125=AQ125,AI125=AS125),1,0)=0,AI125)</f>
        <v>#N/A</v>
      </c>
      <c r="AS125" t="e" cm="1">
        <f t="array" ref="AS125">_xlfn.IFS(VLOOKUP(AA125,$A$2:$B$1048576,2,FALSE)="DST",AA125,VLOOKUP(AB125,$A$2:$B$1048576,2,FALSE)="DST",AB125,VLOOKUP(AC125,$A$2:$B$1048576,2,FALSE)="DST",AC125,VLOOKUP(AD125,$A$2:$B$1048576,2,FALSE)="DST",AD125,VLOOKUP(AE125,$A$2:$B$1048576,2,FALSE)="DST",AE125,VLOOKUP(AF125,$A$2:$B$1048576,2,FALSE)="DST",AF125,VLOOKUP(AG125,$A$2:$B$1048576,2,FALSE)="DST",AG125,VLOOKUP(AH125,$A$2:$B$1048576,2,FALSE)="DST",AH125,VLOOKUP(AI125,$A$2:$B$1048576,2,FALSE)="DST",AI125)</f>
        <v>#N/A</v>
      </c>
    </row>
    <row r="126" spans="1:45" x14ac:dyDescent="0.35">
      <c r="A126" t="s">
        <v>149</v>
      </c>
      <c r="B126" s="11" t="s">
        <v>7</v>
      </c>
      <c r="C126" s="11">
        <v>6500</v>
      </c>
      <c r="D126" s="12">
        <v>23.555933333333336</v>
      </c>
      <c r="E126" s="12">
        <v>24.269791092610639</v>
      </c>
      <c r="F126" s="12">
        <v>59.082828824635342</v>
      </c>
      <c r="H126" s="11">
        <v>0</v>
      </c>
      <c r="I126">
        <f>IF(B126="QB",H126*1,0)</f>
        <v>0</v>
      </c>
      <c r="J126">
        <f>IF(B126="RB",H126*1,0)</f>
        <v>0</v>
      </c>
      <c r="K126">
        <f>IF(B126="WR",H126*1,0)</f>
        <v>0</v>
      </c>
      <c r="L126">
        <f>IF(B126="TE",H126*1,0)</f>
        <v>0</v>
      </c>
      <c r="M126">
        <f>IF(B126="DST",H126*1,0)</f>
        <v>0</v>
      </c>
      <c r="X126" s="11">
        <f t="shared" si="7"/>
        <v>1</v>
      </c>
      <c r="Y126" s="9">
        <v>125</v>
      </c>
      <c r="Z126" s="12">
        <f t="shared" si="8"/>
        <v>0</v>
      </c>
      <c r="AK126" t="e" cm="1">
        <f t="array" ref="AK126">_xlfn.IFS(VLOOKUP(AA126,$A$2:$B$1048576,2,FALSE)="QB",AA126,VLOOKUP(AB126,$A$2:$B$1048576,2,FALSE)="QB",AB126,VLOOKUP(AC126,$A$2:$B$1048576,2,FALSE)="QB",AC126,VLOOKUP(AD126,$A$2:$B$1048576,2,FALSE)="QB",AD126,VLOOKUP(AE126,$A$2:$B$1048576,2,FALSE)="QB",AE126,VLOOKUP(AF126,$A$2:$B$1048576,2,FALSE)="QB",AF126,VLOOKUP(AG126,$A$2:$B$1048576,2,FALSE)="QB",AG126,VLOOKUP(AH126,$A$2:$B$1048576,2,FALSE)="QB",AH126,VLOOKUP(AI126,$A$2:$B$1048576,2,FALSE)="QB",AI126)</f>
        <v>#N/A</v>
      </c>
      <c r="AL126" t="e" cm="1">
        <f t="array" ref="AL126">_xlfn.IFS(VLOOKUP(AA126,$A$2:$B$1048576,2,FALSE)="RB",AA126,VLOOKUP(AB126,$A$2:$B$1048576,2,FALSE)="RB",AB126,VLOOKUP(AC126,$A$2:$B$1048576,2,FALSE)="RB",AC126,VLOOKUP(AD126,$A$2:$B$1048576,2,FALSE)="RB",AD126,VLOOKUP(AE126,$A$2:$B$1048576,2,FALSE)="RB",AE126,VLOOKUP(AF126,$A$2:$B$1048576,2,FALSE)="RB",AF126,VLOOKUP(AG126,$A$2:$B$1048576,2,FALSE)="RB",AG126,VLOOKUP(AH126,$A$2:$B$1048576,2,FALSE)="RB",AH126,VLOOKUP(AI126,$A$2:$B$1048576,2,FALSE)="RB",AI126)</f>
        <v>#N/A</v>
      </c>
      <c r="AM126" t="e">
        <f t="shared" si="9"/>
        <v>#N/A</v>
      </c>
      <c r="AN126" t="e" cm="1">
        <f t="array" ref="AN126">_xlfn.IFS(VLOOKUP(AA126,$A$2:$B$1048576,2,FALSE)="WR",AA126,VLOOKUP(AB126,$A$2:$B$1048576,2,FALSE)="WR",AB126,VLOOKUP(AC126,$A$2:$B$1048576,2,FALSE)="WR",AC126,VLOOKUP(AD126,$A$2:$B$1048576,2,FALSE)="WR",AD126,VLOOKUP(AE126,$A$2:$B$1048576,2,FALSE)="WR",AE126,VLOOKUP(AF126,$A$2:$B$1048576,2,FALSE)="WR",AF126,VLOOKUP(AG126,$A$2:$B$1048576,2,FALSE)="WR",AG126,VLOOKUP(AH126,$A$2:$B$1048576,2,FALSE)="WR",AH126,VLOOKUP(AI126,$A$2:$B$1048576,2,FALSE)="WR",AI126)</f>
        <v>#N/A</v>
      </c>
      <c r="AO126" t="e">
        <f t="shared" si="10"/>
        <v>#N/A</v>
      </c>
      <c r="AP126" t="e">
        <f t="shared" si="11"/>
        <v>#N/A</v>
      </c>
      <c r="AQ126" t="e" cm="1">
        <f t="array" ref="AQ126">_xlfn.IFS(VLOOKUP(AA126,$A$2:$B$1048576,2,FALSE)="TE",AA126,VLOOKUP(AB126,$A$2:$B$1048576,2,FALSE)="TE",AB126,VLOOKUP(AC126,$A$2:$B$1048576,2,FALSE)="TE",AC126,VLOOKUP(AD126,$A$2:$B$1048576,2,FALSE)="TE",AD126,VLOOKUP(AE126,$A$2:$B$1048576,2,FALSE)="TE",AE126,VLOOKUP(AF126,$A$2:$B$1048576,2,FALSE)="TE",AF126,VLOOKUP(AG126,$A$2:$B$1048576,2,FALSE)="TE",AG126,VLOOKUP(AH126,$A$2:$B$1048576,2,FALSE)="TE",AH126,VLOOKUP(AI126,$A$2:$B$1048576,2,FALSE)="TE",AI126)</f>
        <v>#N/A</v>
      </c>
      <c r="AR126" t="e" cm="1">
        <f t="array" ref="AR126">_xlfn.IFS(IF(OR(AA126=AK126,AA126=AL126,AA126=AM126,AA126=AN126,AA126=AO126,AA126=AP126,AA126=AQ126,AA126=AS126),1,0)=0,AA126,IF(OR(AB126=AK126,AB126=AL126,AB126=AM126,AB126=AN126,AB126=AO126,AB126=AP126,AB126=AQ126,AB126=AS126),1,0)=0,AB126,IF(OR(AC126=AK126,AC126=AL126,AC126=AM126,AC126=AN126,AC126=AO126,AC126=AP126,AC126=AQ126,AC126=AS126),1,0)=0,AC126,IF(OR(AD126=AK126,AD126=AL126,AD126=AM126,AD126=AN126,AD126=AO126,AD126=AP126,AD126=AQ126,AD126=AS126),1,0)=0,AD126,IF(OR(AE126=AK126,AE126=AL126,AE126=AM126,AE126=AN126,AE126=AO126,AE126=AP126,AE126=AQ126,AE126=AS126),1,0)=0,AE126,IF(OR(AF126=AK126,AF126=AL126,AF126=AM126,AF126=AN126,AF126=AO126,AF126=AP126,AF126=AQ126,AF126=AS126),1,0)=0,AF126,IF(OR(AG126=AK126,AG126=AL126,AG126=AM126,AG126=AN126,AG126=AO126,AG126=AP126,AG126=AQ126,AG126=AS126),1,0)=0,AG126,IF(OR(AH126=AK126,AH126=AL126,AH126=AM126,AH126=AN126,AH126=AO126,AH126=AP126,AH126=AQ126,AH126=AS126),1,0)=0,AH126,IF(OR(AI126=AK126,AI126=AL126,AI126=AM126,AI126=AN126,AI126=AO126,AI126=AP126,AI126=AQ126,AI126=AS126),1,0)=0,AI126)</f>
        <v>#N/A</v>
      </c>
      <c r="AS126" t="e" cm="1">
        <f t="array" ref="AS126">_xlfn.IFS(VLOOKUP(AA126,$A$2:$B$1048576,2,FALSE)="DST",AA126,VLOOKUP(AB126,$A$2:$B$1048576,2,FALSE)="DST",AB126,VLOOKUP(AC126,$A$2:$B$1048576,2,FALSE)="DST",AC126,VLOOKUP(AD126,$A$2:$B$1048576,2,FALSE)="DST",AD126,VLOOKUP(AE126,$A$2:$B$1048576,2,FALSE)="DST",AE126,VLOOKUP(AF126,$A$2:$B$1048576,2,FALSE)="DST",AF126,VLOOKUP(AG126,$A$2:$B$1048576,2,FALSE)="DST",AG126,VLOOKUP(AH126,$A$2:$B$1048576,2,FALSE)="DST",AH126,VLOOKUP(AI126,$A$2:$B$1048576,2,FALSE)="DST",AI126)</f>
        <v>#N/A</v>
      </c>
    </row>
    <row r="127" spans="1:45" x14ac:dyDescent="0.35">
      <c r="A127" t="s">
        <v>150</v>
      </c>
      <c r="B127" s="11" t="s">
        <v>7</v>
      </c>
      <c r="C127" s="11">
        <v>6700</v>
      </c>
      <c r="D127" s="12">
        <v>25.3216</v>
      </c>
      <c r="E127" s="12">
        <v>26.770719424304026</v>
      </c>
      <c r="F127" s="12">
        <v>64.511400488756209</v>
      </c>
      <c r="H127" s="11">
        <v>0</v>
      </c>
      <c r="I127">
        <f>IF(B127="QB",H127*1,0)</f>
        <v>0</v>
      </c>
      <c r="J127">
        <f>IF(B127="RB",H127*1,0)</f>
        <v>0</v>
      </c>
      <c r="K127">
        <f>IF(B127="WR",H127*1,0)</f>
        <v>0</v>
      </c>
      <c r="L127">
        <f>IF(B127="TE",H127*1,0)</f>
        <v>0</v>
      </c>
      <c r="M127">
        <f>IF(B127="DST",H127*1,0)</f>
        <v>0</v>
      </c>
      <c r="X127" s="11">
        <f t="shared" si="7"/>
        <v>1</v>
      </c>
      <c r="Y127" s="9">
        <v>126</v>
      </c>
      <c r="Z127" s="12">
        <f t="shared" si="8"/>
        <v>0</v>
      </c>
      <c r="AK127" t="e" cm="1">
        <f t="array" ref="AK127">_xlfn.IFS(VLOOKUP(AA127,$A$2:$B$1048576,2,FALSE)="QB",AA127,VLOOKUP(AB127,$A$2:$B$1048576,2,FALSE)="QB",AB127,VLOOKUP(AC127,$A$2:$B$1048576,2,FALSE)="QB",AC127,VLOOKUP(AD127,$A$2:$B$1048576,2,FALSE)="QB",AD127,VLOOKUP(AE127,$A$2:$B$1048576,2,FALSE)="QB",AE127,VLOOKUP(AF127,$A$2:$B$1048576,2,FALSE)="QB",AF127,VLOOKUP(AG127,$A$2:$B$1048576,2,FALSE)="QB",AG127,VLOOKUP(AH127,$A$2:$B$1048576,2,FALSE)="QB",AH127,VLOOKUP(AI127,$A$2:$B$1048576,2,FALSE)="QB",AI127)</f>
        <v>#N/A</v>
      </c>
      <c r="AL127" t="e" cm="1">
        <f t="array" ref="AL127">_xlfn.IFS(VLOOKUP(AA127,$A$2:$B$1048576,2,FALSE)="RB",AA127,VLOOKUP(AB127,$A$2:$B$1048576,2,FALSE)="RB",AB127,VLOOKUP(AC127,$A$2:$B$1048576,2,FALSE)="RB",AC127,VLOOKUP(AD127,$A$2:$B$1048576,2,FALSE)="RB",AD127,VLOOKUP(AE127,$A$2:$B$1048576,2,FALSE)="RB",AE127,VLOOKUP(AF127,$A$2:$B$1048576,2,FALSE)="RB",AF127,VLOOKUP(AG127,$A$2:$B$1048576,2,FALSE)="RB",AG127,VLOOKUP(AH127,$A$2:$B$1048576,2,FALSE)="RB",AH127,VLOOKUP(AI127,$A$2:$B$1048576,2,FALSE)="RB",AI127)</f>
        <v>#N/A</v>
      </c>
      <c r="AM127" t="e">
        <f t="shared" si="9"/>
        <v>#N/A</v>
      </c>
      <c r="AN127" t="e" cm="1">
        <f t="array" ref="AN127">_xlfn.IFS(VLOOKUP(AA127,$A$2:$B$1048576,2,FALSE)="WR",AA127,VLOOKUP(AB127,$A$2:$B$1048576,2,FALSE)="WR",AB127,VLOOKUP(AC127,$A$2:$B$1048576,2,FALSE)="WR",AC127,VLOOKUP(AD127,$A$2:$B$1048576,2,FALSE)="WR",AD127,VLOOKUP(AE127,$A$2:$B$1048576,2,FALSE)="WR",AE127,VLOOKUP(AF127,$A$2:$B$1048576,2,FALSE)="WR",AF127,VLOOKUP(AG127,$A$2:$B$1048576,2,FALSE)="WR",AG127,VLOOKUP(AH127,$A$2:$B$1048576,2,FALSE)="WR",AH127,VLOOKUP(AI127,$A$2:$B$1048576,2,FALSE)="WR",AI127)</f>
        <v>#N/A</v>
      </c>
      <c r="AO127" t="e">
        <f t="shared" si="10"/>
        <v>#N/A</v>
      </c>
      <c r="AP127" t="e">
        <f t="shared" si="11"/>
        <v>#N/A</v>
      </c>
      <c r="AQ127" t="e" cm="1">
        <f t="array" ref="AQ127">_xlfn.IFS(VLOOKUP(AA127,$A$2:$B$1048576,2,FALSE)="TE",AA127,VLOOKUP(AB127,$A$2:$B$1048576,2,FALSE)="TE",AB127,VLOOKUP(AC127,$A$2:$B$1048576,2,FALSE)="TE",AC127,VLOOKUP(AD127,$A$2:$B$1048576,2,FALSE)="TE",AD127,VLOOKUP(AE127,$A$2:$B$1048576,2,FALSE)="TE",AE127,VLOOKUP(AF127,$A$2:$B$1048576,2,FALSE)="TE",AF127,VLOOKUP(AG127,$A$2:$B$1048576,2,FALSE)="TE",AG127,VLOOKUP(AH127,$A$2:$B$1048576,2,FALSE)="TE",AH127,VLOOKUP(AI127,$A$2:$B$1048576,2,FALSE)="TE",AI127)</f>
        <v>#N/A</v>
      </c>
      <c r="AR127" t="e" cm="1">
        <f t="array" ref="AR127">_xlfn.IFS(IF(OR(AA127=AK127,AA127=AL127,AA127=AM127,AA127=AN127,AA127=AO127,AA127=AP127,AA127=AQ127,AA127=AS127),1,0)=0,AA127,IF(OR(AB127=AK127,AB127=AL127,AB127=AM127,AB127=AN127,AB127=AO127,AB127=AP127,AB127=AQ127,AB127=AS127),1,0)=0,AB127,IF(OR(AC127=AK127,AC127=AL127,AC127=AM127,AC127=AN127,AC127=AO127,AC127=AP127,AC127=AQ127,AC127=AS127),1,0)=0,AC127,IF(OR(AD127=AK127,AD127=AL127,AD127=AM127,AD127=AN127,AD127=AO127,AD127=AP127,AD127=AQ127,AD127=AS127),1,0)=0,AD127,IF(OR(AE127=AK127,AE127=AL127,AE127=AM127,AE127=AN127,AE127=AO127,AE127=AP127,AE127=AQ127,AE127=AS127),1,0)=0,AE127,IF(OR(AF127=AK127,AF127=AL127,AF127=AM127,AF127=AN127,AF127=AO127,AF127=AP127,AF127=AQ127,AF127=AS127),1,0)=0,AF127,IF(OR(AG127=AK127,AG127=AL127,AG127=AM127,AG127=AN127,AG127=AO127,AG127=AP127,AG127=AQ127,AG127=AS127),1,0)=0,AG127,IF(OR(AH127=AK127,AH127=AL127,AH127=AM127,AH127=AN127,AH127=AO127,AH127=AP127,AH127=AQ127,AH127=AS127),1,0)=0,AH127,IF(OR(AI127=AK127,AI127=AL127,AI127=AM127,AI127=AN127,AI127=AO127,AI127=AP127,AI127=AQ127,AI127=AS127),1,0)=0,AI127)</f>
        <v>#N/A</v>
      </c>
      <c r="AS127" t="e" cm="1">
        <f t="array" ref="AS127">_xlfn.IFS(VLOOKUP(AA127,$A$2:$B$1048576,2,FALSE)="DST",AA127,VLOOKUP(AB127,$A$2:$B$1048576,2,FALSE)="DST",AB127,VLOOKUP(AC127,$A$2:$B$1048576,2,FALSE)="DST",AC127,VLOOKUP(AD127,$A$2:$B$1048576,2,FALSE)="DST",AD127,VLOOKUP(AE127,$A$2:$B$1048576,2,FALSE)="DST",AE127,VLOOKUP(AF127,$A$2:$B$1048576,2,FALSE)="DST",AF127,VLOOKUP(AG127,$A$2:$B$1048576,2,FALSE)="DST",AG127,VLOOKUP(AH127,$A$2:$B$1048576,2,FALSE)="DST",AH127,VLOOKUP(AI127,$A$2:$B$1048576,2,FALSE)="DST",AI127)</f>
        <v>#N/A</v>
      </c>
    </row>
    <row r="128" spans="1:45" x14ac:dyDescent="0.35">
      <c r="A128" t="s">
        <v>151</v>
      </c>
      <c r="B128" s="11" t="s">
        <v>7</v>
      </c>
      <c r="C128" s="11">
        <v>6000</v>
      </c>
      <c r="D128" s="12">
        <v>19.725100000000001</v>
      </c>
      <c r="E128" s="12">
        <v>20.223841219202097</v>
      </c>
      <c r="F128" s="12">
        <v>47.360137840326388</v>
      </c>
      <c r="H128" s="11">
        <v>0</v>
      </c>
      <c r="I128">
        <f>IF(B128="QB",H128*1,0)</f>
        <v>0</v>
      </c>
      <c r="J128">
        <f>IF(B128="RB",H128*1,0)</f>
        <v>0</v>
      </c>
      <c r="K128">
        <f>IF(B128="WR",H128*1,0)</f>
        <v>0</v>
      </c>
      <c r="L128">
        <f>IF(B128="TE",H128*1,0)</f>
        <v>0</v>
      </c>
      <c r="M128">
        <f>IF(B128="DST",H128*1,0)</f>
        <v>0</v>
      </c>
      <c r="X128" s="11">
        <f t="shared" si="7"/>
        <v>1</v>
      </c>
      <c r="Y128" s="9">
        <v>127</v>
      </c>
      <c r="Z128" s="12">
        <f t="shared" si="8"/>
        <v>0</v>
      </c>
      <c r="AK128" t="e" cm="1">
        <f t="array" ref="AK128">_xlfn.IFS(VLOOKUP(AA128,$A$2:$B$1048576,2,FALSE)="QB",AA128,VLOOKUP(AB128,$A$2:$B$1048576,2,FALSE)="QB",AB128,VLOOKUP(AC128,$A$2:$B$1048576,2,FALSE)="QB",AC128,VLOOKUP(AD128,$A$2:$B$1048576,2,FALSE)="QB",AD128,VLOOKUP(AE128,$A$2:$B$1048576,2,FALSE)="QB",AE128,VLOOKUP(AF128,$A$2:$B$1048576,2,FALSE)="QB",AF128,VLOOKUP(AG128,$A$2:$B$1048576,2,FALSE)="QB",AG128,VLOOKUP(AH128,$A$2:$B$1048576,2,FALSE)="QB",AH128,VLOOKUP(AI128,$A$2:$B$1048576,2,FALSE)="QB",AI128)</f>
        <v>#N/A</v>
      </c>
      <c r="AL128" t="e" cm="1">
        <f t="array" ref="AL128">_xlfn.IFS(VLOOKUP(AA128,$A$2:$B$1048576,2,FALSE)="RB",AA128,VLOOKUP(AB128,$A$2:$B$1048576,2,FALSE)="RB",AB128,VLOOKUP(AC128,$A$2:$B$1048576,2,FALSE)="RB",AC128,VLOOKUP(AD128,$A$2:$B$1048576,2,FALSE)="RB",AD128,VLOOKUP(AE128,$A$2:$B$1048576,2,FALSE)="RB",AE128,VLOOKUP(AF128,$A$2:$B$1048576,2,FALSE)="RB",AF128,VLOOKUP(AG128,$A$2:$B$1048576,2,FALSE)="RB",AG128,VLOOKUP(AH128,$A$2:$B$1048576,2,FALSE)="RB",AH128,VLOOKUP(AI128,$A$2:$B$1048576,2,FALSE)="RB",AI128)</f>
        <v>#N/A</v>
      </c>
      <c r="AM128" t="e">
        <f t="shared" si="9"/>
        <v>#N/A</v>
      </c>
      <c r="AN128" t="e" cm="1">
        <f t="array" ref="AN128">_xlfn.IFS(VLOOKUP(AA128,$A$2:$B$1048576,2,FALSE)="WR",AA128,VLOOKUP(AB128,$A$2:$B$1048576,2,FALSE)="WR",AB128,VLOOKUP(AC128,$A$2:$B$1048576,2,FALSE)="WR",AC128,VLOOKUP(AD128,$A$2:$B$1048576,2,FALSE)="WR",AD128,VLOOKUP(AE128,$A$2:$B$1048576,2,FALSE)="WR",AE128,VLOOKUP(AF128,$A$2:$B$1048576,2,FALSE)="WR",AF128,VLOOKUP(AG128,$A$2:$B$1048576,2,FALSE)="WR",AG128,VLOOKUP(AH128,$A$2:$B$1048576,2,FALSE)="WR",AH128,VLOOKUP(AI128,$A$2:$B$1048576,2,FALSE)="WR",AI128)</f>
        <v>#N/A</v>
      </c>
      <c r="AO128" t="e">
        <f t="shared" si="10"/>
        <v>#N/A</v>
      </c>
      <c r="AP128" t="e">
        <f t="shared" si="11"/>
        <v>#N/A</v>
      </c>
      <c r="AQ128" t="e" cm="1">
        <f t="array" ref="AQ128">_xlfn.IFS(VLOOKUP(AA128,$A$2:$B$1048576,2,FALSE)="TE",AA128,VLOOKUP(AB128,$A$2:$B$1048576,2,FALSE)="TE",AB128,VLOOKUP(AC128,$A$2:$B$1048576,2,FALSE)="TE",AC128,VLOOKUP(AD128,$A$2:$B$1048576,2,FALSE)="TE",AD128,VLOOKUP(AE128,$A$2:$B$1048576,2,FALSE)="TE",AE128,VLOOKUP(AF128,$A$2:$B$1048576,2,FALSE)="TE",AF128,VLOOKUP(AG128,$A$2:$B$1048576,2,FALSE)="TE",AG128,VLOOKUP(AH128,$A$2:$B$1048576,2,FALSE)="TE",AH128,VLOOKUP(AI128,$A$2:$B$1048576,2,FALSE)="TE",AI128)</f>
        <v>#N/A</v>
      </c>
      <c r="AR128" t="e" cm="1">
        <f t="array" ref="AR128">_xlfn.IFS(IF(OR(AA128=AK128,AA128=AL128,AA128=AM128,AA128=AN128,AA128=AO128,AA128=AP128,AA128=AQ128,AA128=AS128),1,0)=0,AA128,IF(OR(AB128=AK128,AB128=AL128,AB128=AM128,AB128=AN128,AB128=AO128,AB128=AP128,AB128=AQ128,AB128=AS128),1,0)=0,AB128,IF(OR(AC128=AK128,AC128=AL128,AC128=AM128,AC128=AN128,AC128=AO128,AC128=AP128,AC128=AQ128,AC128=AS128),1,0)=0,AC128,IF(OR(AD128=AK128,AD128=AL128,AD128=AM128,AD128=AN128,AD128=AO128,AD128=AP128,AD128=AQ128,AD128=AS128),1,0)=0,AD128,IF(OR(AE128=AK128,AE128=AL128,AE128=AM128,AE128=AN128,AE128=AO128,AE128=AP128,AE128=AQ128,AE128=AS128),1,0)=0,AE128,IF(OR(AF128=AK128,AF128=AL128,AF128=AM128,AF128=AN128,AF128=AO128,AF128=AP128,AF128=AQ128,AF128=AS128),1,0)=0,AF128,IF(OR(AG128=AK128,AG128=AL128,AG128=AM128,AG128=AN128,AG128=AO128,AG128=AP128,AG128=AQ128,AG128=AS128),1,0)=0,AG128,IF(OR(AH128=AK128,AH128=AL128,AH128=AM128,AH128=AN128,AH128=AO128,AH128=AP128,AH128=AQ128,AH128=AS128),1,0)=0,AH128,IF(OR(AI128=AK128,AI128=AL128,AI128=AM128,AI128=AN128,AI128=AO128,AI128=AP128,AI128=AQ128,AI128=AS128),1,0)=0,AI128)</f>
        <v>#N/A</v>
      </c>
      <c r="AS128" t="e" cm="1">
        <f t="array" ref="AS128">_xlfn.IFS(VLOOKUP(AA128,$A$2:$B$1048576,2,FALSE)="DST",AA128,VLOOKUP(AB128,$A$2:$B$1048576,2,FALSE)="DST",AB128,VLOOKUP(AC128,$A$2:$B$1048576,2,FALSE)="DST",AC128,VLOOKUP(AD128,$A$2:$B$1048576,2,FALSE)="DST",AD128,VLOOKUP(AE128,$A$2:$B$1048576,2,FALSE)="DST",AE128,VLOOKUP(AF128,$A$2:$B$1048576,2,FALSE)="DST",AF128,VLOOKUP(AG128,$A$2:$B$1048576,2,FALSE)="DST",AG128,VLOOKUP(AH128,$A$2:$B$1048576,2,FALSE)="DST",AH128,VLOOKUP(AI128,$A$2:$B$1048576,2,FALSE)="DST",AI128)</f>
        <v>#N/A</v>
      </c>
    </row>
    <row r="129" spans="1:45" x14ac:dyDescent="0.35">
      <c r="A129" t="s">
        <v>152</v>
      </c>
      <c r="B129" s="11" t="s">
        <v>7</v>
      </c>
      <c r="C129" s="11">
        <v>6300</v>
      </c>
      <c r="D129" s="12">
        <v>21.001516666666671</v>
      </c>
      <c r="E129" s="12">
        <v>22.946138348582643</v>
      </c>
      <c r="F129" s="12">
        <v>51.226905643365505</v>
      </c>
      <c r="H129" s="11">
        <v>0</v>
      </c>
      <c r="I129">
        <f>IF(B129="QB",H129*1,0)</f>
        <v>0</v>
      </c>
      <c r="J129">
        <f>IF(B129="RB",H129*1,0)</f>
        <v>0</v>
      </c>
      <c r="K129">
        <f>IF(B129="WR",H129*1,0)</f>
        <v>0</v>
      </c>
      <c r="L129">
        <f>IF(B129="TE",H129*1,0)</f>
        <v>0</v>
      </c>
      <c r="M129">
        <f>IF(B129="DST",H129*1,0)</f>
        <v>0</v>
      </c>
      <c r="X129" s="11">
        <f t="shared" si="7"/>
        <v>1</v>
      </c>
      <c r="Y129" s="9">
        <v>128</v>
      </c>
      <c r="Z129" s="12">
        <f t="shared" si="8"/>
        <v>0</v>
      </c>
      <c r="AK129" t="e" cm="1">
        <f t="array" ref="AK129">_xlfn.IFS(VLOOKUP(AA129,$A$2:$B$1048576,2,FALSE)="QB",AA129,VLOOKUP(AB129,$A$2:$B$1048576,2,FALSE)="QB",AB129,VLOOKUP(AC129,$A$2:$B$1048576,2,FALSE)="QB",AC129,VLOOKUP(AD129,$A$2:$B$1048576,2,FALSE)="QB",AD129,VLOOKUP(AE129,$A$2:$B$1048576,2,FALSE)="QB",AE129,VLOOKUP(AF129,$A$2:$B$1048576,2,FALSE)="QB",AF129,VLOOKUP(AG129,$A$2:$B$1048576,2,FALSE)="QB",AG129,VLOOKUP(AH129,$A$2:$B$1048576,2,FALSE)="QB",AH129,VLOOKUP(AI129,$A$2:$B$1048576,2,FALSE)="QB",AI129)</f>
        <v>#N/A</v>
      </c>
      <c r="AL129" t="e" cm="1">
        <f t="array" ref="AL129">_xlfn.IFS(VLOOKUP(AA129,$A$2:$B$1048576,2,FALSE)="RB",AA129,VLOOKUP(AB129,$A$2:$B$1048576,2,FALSE)="RB",AB129,VLOOKUP(AC129,$A$2:$B$1048576,2,FALSE)="RB",AC129,VLOOKUP(AD129,$A$2:$B$1048576,2,FALSE)="RB",AD129,VLOOKUP(AE129,$A$2:$B$1048576,2,FALSE)="RB",AE129,VLOOKUP(AF129,$A$2:$B$1048576,2,FALSE)="RB",AF129,VLOOKUP(AG129,$A$2:$B$1048576,2,FALSE)="RB",AG129,VLOOKUP(AH129,$A$2:$B$1048576,2,FALSE)="RB",AH129,VLOOKUP(AI129,$A$2:$B$1048576,2,FALSE)="RB",AI129)</f>
        <v>#N/A</v>
      </c>
      <c r="AM129" t="e">
        <f t="shared" si="9"/>
        <v>#N/A</v>
      </c>
      <c r="AN129" t="e" cm="1">
        <f t="array" ref="AN129">_xlfn.IFS(VLOOKUP(AA129,$A$2:$B$1048576,2,FALSE)="WR",AA129,VLOOKUP(AB129,$A$2:$B$1048576,2,FALSE)="WR",AB129,VLOOKUP(AC129,$A$2:$B$1048576,2,FALSE)="WR",AC129,VLOOKUP(AD129,$A$2:$B$1048576,2,FALSE)="WR",AD129,VLOOKUP(AE129,$A$2:$B$1048576,2,FALSE)="WR",AE129,VLOOKUP(AF129,$A$2:$B$1048576,2,FALSE)="WR",AF129,VLOOKUP(AG129,$A$2:$B$1048576,2,FALSE)="WR",AG129,VLOOKUP(AH129,$A$2:$B$1048576,2,FALSE)="WR",AH129,VLOOKUP(AI129,$A$2:$B$1048576,2,FALSE)="WR",AI129)</f>
        <v>#N/A</v>
      </c>
      <c r="AO129" t="e">
        <f t="shared" si="10"/>
        <v>#N/A</v>
      </c>
      <c r="AP129" t="e">
        <f t="shared" si="11"/>
        <v>#N/A</v>
      </c>
      <c r="AQ129" t="e" cm="1">
        <f t="array" ref="AQ129">_xlfn.IFS(VLOOKUP(AA129,$A$2:$B$1048576,2,FALSE)="TE",AA129,VLOOKUP(AB129,$A$2:$B$1048576,2,FALSE)="TE",AB129,VLOOKUP(AC129,$A$2:$B$1048576,2,FALSE)="TE",AC129,VLOOKUP(AD129,$A$2:$B$1048576,2,FALSE)="TE",AD129,VLOOKUP(AE129,$A$2:$B$1048576,2,FALSE)="TE",AE129,VLOOKUP(AF129,$A$2:$B$1048576,2,FALSE)="TE",AF129,VLOOKUP(AG129,$A$2:$B$1048576,2,FALSE)="TE",AG129,VLOOKUP(AH129,$A$2:$B$1048576,2,FALSE)="TE",AH129,VLOOKUP(AI129,$A$2:$B$1048576,2,FALSE)="TE",AI129)</f>
        <v>#N/A</v>
      </c>
      <c r="AR129" t="e" cm="1">
        <f t="array" ref="AR129">_xlfn.IFS(IF(OR(AA129=AK129,AA129=AL129,AA129=AM129,AA129=AN129,AA129=AO129,AA129=AP129,AA129=AQ129,AA129=AS129),1,0)=0,AA129,IF(OR(AB129=AK129,AB129=AL129,AB129=AM129,AB129=AN129,AB129=AO129,AB129=AP129,AB129=AQ129,AB129=AS129),1,0)=0,AB129,IF(OR(AC129=AK129,AC129=AL129,AC129=AM129,AC129=AN129,AC129=AO129,AC129=AP129,AC129=AQ129,AC129=AS129),1,0)=0,AC129,IF(OR(AD129=AK129,AD129=AL129,AD129=AM129,AD129=AN129,AD129=AO129,AD129=AP129,AD129=AQ129,AD129=AS129),1,0)=0,AD129,IF(OR(AE129=AK129,AE129=AL129,AE129=AM129,AE129=AN129,AE129=AO129,AE129=AP129,AE129=AQ129,AE129=AS129),1,0)=0,AE129,IF(OR(AF129=AK129,AF129=AL129,AF129=AM129,AF129=AN129,AF129=AO129,AF129=AP129,AF129=AQ129,AF129=AS129),1,0)=0,AF129,IF(OR(AG129=AK129,AG129=AL129,AG129=AM129,AG129=AN129,AG129=AO129,AG129=AP129,AG129=AQ129,AG129=AS129),1,0)=0,AG129,IF(OR(AH129=AK129,AH129=AL129,AH129=AM129,AH129=AN129,AH129=AO129,AH129=AP129,AH129=AQ129,AH129=AS129),1,0)=0,AH129,IF(OR(AI129=AK129,AI129=AL129,AI129=AM129,AI129=AN129,AI129=AO129,AI129=AP129,AI129=AQ129,AI129=AS129),1,0)=0,AI129)</f>
        <v>#N/A</v>
      </c>
      <c r="AS129" t="e" cm="1">
        <f t="array" ref="AS129">_xlfn.IFS(VLOOKUP(AA129,$A$2:$B$1048576,2,FALSE)="DST",AA129,VLOOKUP(AB129,$A$2:$B$1048576,2,FALSE)="DST",AB129,VLOOKUP(AC129,$A$2:$B$1048576,2,FALSE)="DST",AC129,VLOOKUP(AD129,$A$2:$B$1048576,2,FALSE)="DST",AD129,VLOOKUP(AE129,$A$2:$B$1048576,2,FALSE)="DST",AE129,VLOOKUP(AF129,$A$2:$B$1048576,2,FALSE)="DST",AF129,VLOOKUP(AG129,$A$2:$B$1048576,2,FALSE)="DST",AG129,VLOOKUP(AH129,$A$2:$B$1048576,2,FALSE)="DST",AH129,VLOOKUP(AI129,$A$2:$B$1048576,2,FALSE)="DST",AI129)</f>
        <v>#N/A</v>
      </c>
    </row>
    <row r="130" spans="1:45" x14ac:dyDescent="0.35">
      <c r="A130" t="s">
        <v>153</v>
      </c>
      <c r="B130" s="11" t="s">
        <v>7</v>
      </c>
      <c r="C130" s="11">
        <v>5700</v>
      </c>
      <c r="D130" s="12">
        <v>17.237433333333332</v>
      </c>
      <c r="E130" s="12">
        <v>18.275107903740988</v>
      </c>
      <c r="F130" s="12">
        <v>39.771895167237659</v>
      </c>
      <c r="H130" s="11">
        <v>0</v>
      </c>
      <c r="I130">
        <f>IF(B130="QB",H130*1,0)</f>
        <v>0</v>
      </c>
      <c r="J130">
        <f>IF(B130="RB",H130*1,0)</f>
        <v>0</v>
      </c>
      <c r="K130">
        <f>IF(B130="WR",H130*1,0)</f>
        <v>0</v>
      </c>
      <c r="L130">
        <f>IF(B130="TE",H130*1,0)</f>
        <v>0</v>
      </c>
      <c r="M130">
        <f>IF(B130="DST",H130*1,0)</f>
        <v>0</v>
      </c>
      <c r="X130" s="11">
        <f t="shared" ref="X130:X151" si="12">IF(COUNTIF($Z$2:$Z$151,Z130)&gt;1,1,0)</f>
        <v>1</v>
      </c>
      <c r="Y130" s="9">
        <v>129</v>
      </c>
      <c r="Z130" s="12">
        <f t="shared" si="8"/>
        <v>0</v>
      </c>
      <c r="AK130" t="e" cm="1">
        <f t="array" ref="AK130">_xlfn.IFS(VLOOKUP(AA130,$A$2:$B$1048576,2,FALSE)="QB",AA130,VLOOKUP(AB130,$A$2:$B$1048576,2,FALSE)="QB",AB130,VLOOKUP(AC130,$A$2:$B$1048576,2,FALSE)="QB",AC130,VLOOKUP(AD130,$A$2:$B$1048576,2,FALSE)="QB",AD130,VLOOKUP(AE130,$A$2:$B$1048576,2,FALSE)="QB",AE130,VLOOKUP(AF130,$A$2:$B$1048576,2,FALSE)="QB",AF130,VLOOKUP(AG130,$A$2:$B$1048576,2,FALSE)="QB",AG130,VLOOKUP(AH130,$A$2:$B$1048576,2,FALSE)="QB",AH130,VLOOKUP(AI130,$A$2:$B$1048576,2,FALSE)="QB",AI130)</f>
        <v>#N/A</v>
      </c>
      <c r="AL130" t="e" cm="1">
        <f t="array" ref="AL130">_xlfn.IFS(VLOOKUP(AA130,$A$2:$B$1048576,2,FALSE)="RB",AA130,VLOOKUP(AB130,$A$2:$B$1048576,2,FALSE)="RB",AB130,VLOOKUP(AC130,$A$2:$B$1048576,2,FALSE)="RB",AC130,VLOOKUP(AD130,$A$2:$B$1048576,2,FALSE)="RB",AD130,VLOOKUP(AE130,$A$2:$B$1048576,2,FALSE)="RB",AE130,VLOOKUP(AF130,$A$2:$B$1048576,2,FALSE)="RB",AF130,VLOOKUP(AG130,$A$2:$B$1048576,2,FALSE)="RB",AG130,VLOOKUP(AH130,$A$2:$B$1048576,2,FALSE)="RB",AH130,VLOOKUP(AI130,$A$2:$B$1048576,2,FALSE)="RB",AI130)</f>
        <v>#N/A</v>
      </c>
      <c r="AM130" t="e">
        <f t="shared" si="9"/>
        <v>#N/A</v>
      </c>
      <c r="AN130" t="e" cm="1">
        <f t="array" ref="AN130">_xlfn.IFS(VLOOKUP(AA130,$A$2:$B$1048576,2,FALSE)="WR",AA130,VLOOKUP(AB130,$A$2:$B$1048576,2,FALSE)="WR",AB130,VLOOKUP(AC130,$A$2:$B$1048576,2,FALSE)="WR",AC130,VLOOKUP(AD130,$A$2:$B$1048576,2,FALSE)="WR",AD130,VLOOKUP(AE130,$A$2:$B$1048576,2,FALSE)="WR",AE130,VLOOKUP(AF130,$A$2:$B$1048576,2,FALSE)="WR",AF130,VLOOKUP(AG130,$A$2:$B$1048576,2,FALSE)="WR",AG130,VLOOKUP(AH130,$A$2:$B$1048576,2,FALSE)="WR",AH130,VLOOKUP(AI130,$A$2:$B$1048576,2,FALSE)="WR",AI130)</f>
        <v>#N/A</v>
      </c>
      <c r="AO130" t="e">
        <f t="shared" si="10"/>
        <v>#N/A</v>
      </c>
      <c r="AP130" t="e">
        <f t="shared" si="11"/>
        <v>#N/A</v>
      </c>
      <c r="AQ130" t="e" cm="1">
        <f t="array" ref="AQ130">_xlfn.IFS(VLOOKUP(AA130,$A$2:$B$1048576,2,FALSE)="TE",AA130,VLOOKUP(AB130,$A$2:$B$1048576,2,FALSE)="TE",AB130,VLOOKUP(AC130,$A$2:$B$1048576,2,FALSE)="TE",AC130,VLOOKUP(AD130,$A$2:$B$1048576,2,FALSE)="TE",AD130,VLOOKUP(AE130,$A$2:$B$1048576,2,FALSE)="TE",AE130,VLOOKUP(AF130,$A$2:$B$1048576,2,FALSE)="TE",AF130,VLOOKUP(AG130,$A$2:$B$1048576,2,FALSE)="TE",AG130,VLOOKUP(AH130,$A$2:$B$1048576,2,FALSE)="TE",AH130,VLOOKUP(AI130,$A$2:$B$1048576,2,FALSE)="TE",AI130)</f>
        <v>#N/A</v>
      </c>
      <c r="AR130" t="e" cm="1">
        <f t="array" ref="AR130">_xlfn.IFS(IF(OR(AA130=AK130,AA130=AL130,AA130=AM130,AA130=AN130,AA130=AO130,AA130=AP130,AA130=AQ130,AA130=AS130),1,0)=0,AA130,IF(OR(AB130=AK130,AB130=AL130,AB130=AM130,AB130=AN130,AB130=AO130,AB130=AP130,AB130=AQ130,AB130=AS130),1,0)=0,AB130,IF(OR(AC130=AK130,AC130=AL130,AC130=AM130,AC130=AN130,AC130=AO130,AC130=AP130,AC130=AQ130,AC130=AS130),1,0)=0,AC130,IF(OR(AD130=AK130,AD130=AL130,AD130=AM130,AD130=AN130,AD130=AO130,AD130=AP130,AD130=AQ130,AD130=AS130),1,0)=0,AD130,IF(OR(AE130=AK130,AE130=AL130,AE130=AM130,AE130=AN130,AE130=AO130,AE130=AP130,AE130=AQ130,AE130=AS130),1,0)=0,AE130,IF(OR(AF130=AK130,AF130=AL130,AF130=AM130,AF130=AN130,AF130=AO130,AF130=AP130,AF130=AQ130,AF130=AS130),1,0)=0,AF130,IF(OR(AG130=AK130,AG130=AL130,AG130=AM130,AG130=AN130,AG130=AO130,AG130=AP130,AG130=AQ130,AG130=AS130),1,0)=0,AG130,IF(OR(AH130=AK130,AH130=AL130,AH130=AM130,AH130=AN130,AH130=AO130,AH130=AP130,AH130=AQ130,AH130=AS130),1,0)=0,AH130,IF(OR(AI130=AK130,AI130=AL130,AI130=AM130,AI130=AN130,AI130=AO130,AI130=AP130,AI130=AQ130,AI130=AS130),1,0)=0,AI130)</f>
        <v>#N/A</v>
      </c>
      <c r="AS130" t="e" cm="1">
        <f t="array" ref="AS130">_xlfn.IFS(VLOOKUP(AA130,$A$2:$B$1048576,2,FALSE)="DST",AA130,VLOOKUP(AB130,$A$2:$B$1048576,2,FALSE)="DST",AB130,VLOOKUP(AC130,$A$2:$B$1048576,2,FALSE)="DST",AC130,VLOOKUP(AD130,$A$2:$B$1048576,2,FALSE)="DST",AD130,VLOOKUP(AE130,$A$2:$B$1048576,2,FALSE)="DST",AE130,VLOOKUP(AF130,$A$2:$B$1048576,2,FALSE)="DST",AF130,VLOOKUP(AG130,$A$2:$B$1048576,2,FALSE)="DST",AG130,VLOOKUP(AH130,$A$2:$B$1048576,2,FALSE)="DST",AH130,VLOOKUP(AI130,$A$2:$B$1048576,2,FALSE)="DST",AI130)</f>
        <v>#N/A</v>
      </c>
    </row>
    <row r="131" spans="1:45" x14ac:dyDescent="0.35">
      <c r="A131" t="s">
        <v>154</v>
      </c>
      <c r="B131" s="11" t="s">
        <v>7</v>
      </c>
      <c r="C131" s="11">
        <v>6300</v>
      </c>
      <c r="D131" s="12">
        <v>21.269433333333335</v>
      </c>
      <c r="E131" s="12">
        <v>21.830629173397959</v>
      </c>
      <c r="F131" s="12">
        <v>52.054558461363179</v>
      </c>
      <c r="H131" s="11">
        <v>0</v>
      </c>
      <c r="I131">
        <f>IF(B131="QB",H131*1,0)</f>
        <v>0</v>
      </c>
      <c r="J131">
        <f>IF(B131="RB",H131*1,0)</f>
        <v>0</v>
      </c>
      <c r="K131">
        <f>IF(B131="WR",H131*1,0)</f>
        <v>0</v>
      </c>
      <c r="L131">
        <f>IF(B131="TE",H131*1,0)</f>
        <v>0</v>
      </c>
      <c r="M131">
        <f>IF(B131="DST",H131*1,0)</f>
        <v>0</v>
      </c>
      <c r="X131" s="11">
        <f t="shared" si="12"/>
        <v>1</v>
      </c>
      <c r="Y131" s="9">
        <v>130</v>
      </c>
      <c r="Z131" s="12">
        <f t="shared" ref="Z131:Z151" si="13">IFERROR(SUM(VLOOKUP(AA131,$A$2:$D$1048576,4,FALSE),VLOOKUP(AB131,$A$2:$D$1048576,4,FALSE),VLOOKUP(AC131,$A$2:$D$1048576,4,FALSE),VLOOKUP(AD131,$A$2:$D$1048576,4,FALSE),VLOOKUP(AE131,$A$2:$D$1048576,4,FALSE),VLOOKUP(AF131,$A$2:$D$1048576,4,FALSE),VLOOKUP(AG131,$A$2:$D$1048576,4,FALSE),VLOOKUP(AH131,$A$2:$D$1048576,4,FALSE),VLOOKUP(AI131,$A$2:$D$1048576,4,FALSE)),0)</f>
        <v>0</v>
      </c>
      <c r="AK131" t="e" cm="1">
        <f t="array" ref="AK131">_xlfn.IFS(VLOOKUP(AA131,$A$2:$B$1048576,2,FALSE)="QB",AA131,VLOOKUP(AB131,$A$2:$B$1048576,2,FALSE)="QB",AB131,VLOOKUP(AC131,$A$2:$B$1048576,2,FALSE)="QB",AC131,VLOOKUP(AD131,$A$2:$B$1048576,2,FALSE)="QB",AD131,VLOOKUP(AE131,$A$2:$B$1048576,2,FALSE)="QB",AE131,VLOOKUP(AF131,$A$2:$B$1048576,2,FALSE)="QB",AF131,VLOOKUP(AG131,$A$2:$B$1048576,2,FALSE)="QB",AG131,VLOOKUP(AH131,$A$2:$B$1048576,2,FALSE)="QB",AH131,VLOOKUP(AI131,$A$2:$B$1048576,2,FALSE)="QB",AI131)</f>
        <v>#N/A</v>
      </c>
      <c r="AL131" t="e" cm="1">
        <f t="array" ref="AL131">_xlfn.IFS(VLOOKUP(AA131,$A$2:$B$1048576,2,FALSE)="RB",AA131,VLOOKUP(AB131,$A$2:$B$1048576,2,FALSE)="RB",AB131,VLOOKUP(AC131,$A$2:$B$1048576,2,FALSE)="RB",AC131,VLOOKUP(AD131,$A$2:$B$1048576,2,FALSE)="RB",AD131,VLOOKUP(AE131,$A$2:$B$1048576,2,FALSE)="RB",AE131,VLOOKUP(AF131,$A$2:$B$1048576,2,FALSE)="RB",AF131,VLOOKUP(AG131,$A$2:$B$1048576,2,FALSE)="RB",AG131,VLOOKUP(AH131,$A$2:$B$1048576,2,FALSE)="RB",AH131,VLOOKUP(AI131,$A$2:$B$1048576,2,FALSE)="RB",AI131)</f>
        <v>#N/A</v>
      </c>
      <c r="AM131" t="e">
        <f t="shared" ref="AM131:AM151" si="14">IF(AND(AA131&lt;&gt;AL131,VLOOKUP(AA131,$A$2:$B$1048576,2,FALSE)="RB"),AA131,IF(AND(AB131&lt;&gt;AL131,VLOOKUP(AB131,$A$2:$B$1048576,2,FALSE)="RB"),AB131,IF(AND(AC131&lt;&gt;AL131,VLOOKUP(AC131,$A$2:$B$1048576,2,FALSE)="RB"),AC131,IF(AND(AD131&lt;&gt;AL131,VLOOKUP(AD131,$A$2:$B$1048576,2,FALSE)="RB"),AD131,IF(AND(AE131&lt;&gt;AL131,VLOOKUP(AE131,$A$2:$B$1048576,2,FALSE)="RB"),AE131,IF(AND(AF131&lt;&gt;AL131,VLOOKUP(AF131,$A$2:$B$1048576,2,FALSE)="RB"),AF131,IF(AND(AG131&lt;&gt;AL131,VLOOKUP(AG131,$A$2:$B$1048576,2,FALSE)="RB"),AG131,IF(AND(AH131&lt;&gt;AL131,VLOOKUP(AH131,$A$2:$B$1048576,2,FALSE)="RB"),AH131,IF(AND(AI131&lt;&gt;AL131,VLOOKUP(AI131,$A$2:$B$1048576,2,FALSE)="RB"),AI131,0)))))))))</f>
        <v>#N/A</v>
      </c>
      <c r="AN131" t="e" cm="1">
        <f t="array" ref="AN131">_xlfn.IFS(VLOOKUP(AA131,$A$2:$B$1048576,2,FALSE)="WR",AA131,VLOOKUP(AB131,$A$2:$B$1048576,2,FALSE)="WR",AB131,VLOOKUP(AC131,$A$2:$B$1048576,2,FALSE)="WR",AC131,VLOOKUP(AD131,$A$2:$B$1048576,2,FALSE)="WR",AD131,VLOOKUP(AE131,$A$2:$B$1048576,2,FALSE)="WR",AE131,VLOOKUP(AF131,$A$2:$B$1048576,2,FALSE)="WR",AF131,VLOOKUP(AG131,$A$2:$B$1048576,2,FALSE)="WR",AG131,VLOOKUP(AH131,$A$2:$B$1048576,2,FALSE)="WR",AH131,VLOOKUP(AI131,$A$2:$B$1048576,2,FALSE)="WR",AI131)</f>
        <v>#N/A</v>
      </c>
      <c r="AO131" t="e">
        <f t="shared" ref="AO131:AO151" si="15">IF(AND(AA131&lt;&gt;AN131,VLOOKUP(AA131,$A$2:$B$1048576,2,FALSE)="WR"),AA131,IF(AND(AB131&lt;&gt;AN131,VLOOKUP(AB131,$A$2:$B$1048576,2,FALSE)="WR"),AB131,IF(AND(AC131&lt;&gt;AN131,VLOOKUP(AC131,$A$2:$B$1048576,2,FALSE)="WR"),AC131,IF(AND(AD131&lt;&gt;AN131,VLOOKUP(AD131,$A$2:$B$1048576,2,FALSE)="WR"),AD131,IF(AND(AE131&lt;&gt;AN131,VLOOKUP(AE131,$A$2:$B$1048576,2,FALSE)="WR"),AE131,IF(AND(AF131&lt;&gt;AN131,VLOOKUP(AF131,$A$2:$B$1048576,2,FALSE)="WR"),AF131,IF(AND(AG131&lt;&gt;AN131,VLOOKUP(AG131,$A$2:$B$1048576,2,FALSE)="WR"),AG131,IF(AND(AH131&lt;&gt;AN131,VLOOKUP(AH131,$A$2:$B$1048576,2,FALSE)="WR"),AH131,IF(AND(AI131&lt;&gt;AN131,VLOOKUP(AI131,$A$2:$B$1048576,2,FALSE)="WR"),AI131,0)))))))))</f>
        <v>#N/A</v>
      </c>
      <c r="AP131" t="e">
        <f t="shared" ref="AP131:AP151" si="16">IF(AND(AA131&lt;&gt;AN131,OR(AA131&lt;&gt;AO131),VLOOKUP(AA131,$A$2:$B$1048576,2,FALSE)="WR"),AA131,IF(AND(AB131&lt;&gt;AN131,OR(AB131&lt;&gt;AO131),VLOOKUP(AB131,$A$2:$B$1048576,2,FALSE)="WR"),AB131,IF(AND(AC131&lt;&gt;AN131,OR(AC131&lt;&gt;AO131),VLOOKUP(AC131,$A$2:$B$1048576,2,FALSE)="WR"),AC131,IF(AND(AD131&lt;&gt;AN131,OR(AD131&lt;&gt;AO131),VLOOKUP(AD131,$A$2:$B$1048576,2,FALSE)="WR"),AD131,IF(AND(AE131&lt;&gt;AN131,OR(AE131&lt;&gt;AO131),VLOOKUP(AE131,$A$2:$B$1048576,2,FALSE)="WR"),AE131,IF(AND(AF131&lt;&gt;AN131,OR(AF131&lt;&gt;AO131),VLOOKUP(AF131,$A$2:$B$1048576,2,FALSE)="WR"),AF131,IF(AND(AG131&lt;&gt;AN131,OR(AG131&lt;&gt;AO131),VLOOKUP(AG131,$A$2:$B$1048576,2,FALSE)="WR"),AG131,IF(AND(AH131&lt;&gt;AN131,OR(AH131&lt;&gt;AO131),VLOOKUP(AH131,$A$2:$B$1048576,2,FALSE)="WR"),AH131,IF(AND(AI131&lt;&gt;AN131,OR(AI131&lt;&gt;AO131),VLOOKUP(AI131,$A$2:$B$1048576,2,FALSE)="WR"),AI131,0)))))))))</f>
        <v>#N/A</v>
      </c>
      <c r="AQ131" t="e" cm="1">
        <f t="array" ref="AQ131">_xlfn.IFS(VLOOKUP(AA131,$A$2:$B$1048576,2,FALSE)="TE",AA131,VLOOKUP(AB131,$A$2:$B$1048576,2,FALSE)="TE",AB131,VLOOKUP(AC131,$A$2:$B$1048576,2,FALSE)="TE",AC131,VLOOKUP(AD131,$A$2:$B$1048576,2,FALSE)="TE",AD131,VLOOKUP(AE131,$A$2:$B$1048576,2,FALSE)="TE",AE131,VLOOKUP(AF131,$A$2:$B$1048576,2,FALSE)="TE",AF131,VLOOKUP(AG131,$A$2:$B$1048576,2,FALSE)="TE",AG131,VLOOKUP(AH131,$A$2:$B$1048576,2,FALSE)="TE",AH131,VLOOKUP(AI131,$A$2:$B$1048576,2,FALSE)="TE",AI131)</f>
        <v>#N/A</v>
      </c>
      <c r="AR131" t="e" cm="1">
        <f t="array" ref="AR131">_xlfn.IFS(IF(OR(AA131=AK131,AA131=AL131,AA131=AM131,AA131=AN131,AA131=AO131,AA131=AP131,AA131=AQ131,AA131=AS131),1,0)=0,AA131,IF(OR(AB131=AK131,AB131=AL131,AB131=AM131,AB131=AN131,AB131=AO131,AB131=AP131,AB131=AQ131,AB131=AS131),1,0)=0,AB131,IF(OR(AC131=AK131,AC131=AL131,AC131=AM131,AC131=AN131,AC131=AO131,AC131=AP131,AC131=AQ131,AC131=AS131),1,0)=0,AC131,IF(OR(AD131=AK131,AD131=AL131,AD131=AM131,AD131=AN131,AD131=AO131,AD131=AP131,AD131=AQ131,AD131=AS131),1,0)=0,AD131,IF(OR(AE131=AK131,AE131=AL131,AE131=AM131,AE131=AN131,AE131=AO131,AE131=AP131,AE131=AQ131,AE131=AS131),1,0)=0,AE131,IF(OR(AF131=AK131,AF131=AL131,AF131=AM131,AF131=AN131,AF131=AO131,AF131=AP131,AF131=AQ131,AF131=AS131),1,0)=0,AF131,IF(OR(AG131=AK131,AG131=AL131,AG131=AM131,AG131=AN131,AG131=AO131,AG131=AP131,AG131=AQ131,AG131=AS131),1,0)=0,AG131,IF(OR(AH131=AK131,AH131=AL131,AH131=AM131,AH131=AN131,AH131=AO131,AH131=AP131,AH131=AQ131,AH131=AS131),1,0)=0,AH131,IF(OR(AI131=AK131,AI131=AL131,AI131=AM131,AI131=AN131,AI131=AO131,AI131=AP131,AI131=AQ131,AI131=AS131),1,0)=0,AI131)</f>
        <v>#N/A</v>
      </c>
      <c r="AS131" t="e" cm="1">
        <f t="array" ref="AS131">_xlfn.IFS(VLOOKUP(AA131,$A$2:$B$1048576,2,FALSE)="DST",AA131,VLOOKUP(AB131,$A$2:$B$1048576,2,FALSE)="DST",AB131,VLOOKUP(AC131,$A$2:$B$1048576,2,FALSE)="DST",AC131,VLOOKUP(AD131,$A$2:$B$1048576,2,FALSE)="DST",AD131,VLOOKUP(AE131,$A$2:$B$1048576,2,FALSE)="DST",AE131,VLOOKUP(AF131,$A$2:$B$1048576,2,FALSE)="DST",AF131,VLOOKUP(AG131,$A$2:$B$1048576,2,FALSE)="DST",AG131,VLOOKUP(AH131,$A$2:$B$1048576,2,FALSE)="DST",AH131,VLOOKUP(AI131,$A$2:$B$1048576,2,FALSE)="DST",AI131)</f>
        <v>#N/A</v>
      </c>
    </row>
    <row r="132" spans="1:45" x14ac:dyDescent="0.35">
      <c r="A132" t="s">
        <v>155</v>
      </c>
      <c r="B132" s="11" t="s">
        <v>7</v>
      </c>
      <c r="C132" s="11">
        <v>5700</v>
      </c>
      <c r="D132" s="12">
        <v>16.993266666666663</v>
      </c>
      <c r="E132" s="12">
        <v>17.409335812214071</v>
      </c>
      <c r="F132" s="12">
        <v>39.023221820685499</v>
      </c>
      <c r="H132" s="11">
        <v>0</v>
      </c>
      <c r="I132">
        <f>IF(B132="QB",H132*1,0)</f>
        <v>0</v>
      </c>
      <c r="J132">
        <f>IF(B132="RB",H132*1,0)</f>
        <v>0</v>
      </c>
      <c r="K132">
        <f>IF(B132="WR",H132*1,0)</f>
        <v>0</v>
      </c>
      <c r="L132">
        <f>IF(B132="TE",H132*1,0)</f>
        <v>0</v>
      </c>
      <c r="M132">
        <f>IF(B132="DST",H132*1,0)</f>
        <v>0</v>
      </c>
      <c r="X132" s="11">
        <f t="shared" si="12"/>
        <v>1</v>
      </c>
      <c r="Y132" s="9">
        <v>131</v>
      </c>
      <c r="Z132" s="12">
        <f t="shared" si="13"/>
        <v>0</v>
      </c>
      <c r="AK132" t="e" cm="1">
        <f t="array" ref="AK132">_xlfn.IFS(VLOOKUP(AA132,$A$2:$B$1048576,2,FALSE)="QB",AA132,VLOOKUP(AB132,$A$2:$B$1048576,2,FALSE)="QB",AB132,VLOOKUP(AC132,$A$2:$B$1048576,2,FALSE)="QB",AC132,VLOOKUP(AD132,$A$2:$B$1048576,2,FALSE)="QB",AD132,VLOOKUP(AE132,$A$2:$B$1048576,2,FALSE)="QB",AE132,VLOOKUP(AF132,$A$2:$B$1048576,2,FALSE)="QB",AF132,VLOOKUP(AG132,$A$2:$B$1048576,2,FALSE)="QB",AG132,VLOOKUP(AH132,$A$2:$B$1048576,2,FALSE)="QB",AH132,VLOOKUP(AI132,$A$2:$B$1048576,2,FALSE)="QB",AI132)</f>
        <v>#N/A</v>
      </c>
      <c r="AL132" t="e" cm="1">
        <f t="array" ref="AL132">_xlfn.IFS(VLOOKUP(AA132,$A$2:$B$1048576,2,FALSE)="RB",AA132,VLOOKUP(AB132,$A$2:$B$1048576,2,FALSE)="RB",AB132,VLOOKUP(AC132,$A$2:$B$1048576,2,FALSE)="RB",AC132,VLOOKUP(AD132,$A$2:$B$1048576,2,FALSE)="RB",AD132,VLOOKUP(AE132,$A$2:$B$1048576,2,FALSE)="RB",AE132,VLOOKUP(AF132,$A$2:$B$1048576,2,FALSE)="RB",AF132,VLOOKUP(AG132,$A$2:$B$1048576,2,FALSE)="RB",AG132,VLOOKUP(AH132,$A$2:$B$1048576,2,FALSE)="RB",AH132,VLOOKUP(AI132,$A$2:$B$1048576,2,FALSE)="RB",AI132)</f>
        <v>#N/A</v>
      </c>
      <c r="AM132" t="e">
        <f t="shared" si="14"/>
        <v>#N/A</v>
      </c>
      <c r="AN132" t="e" cm="1">
        <f t="array" ref="AN132">_xlfn.IFS(VLOOKUP(AA132,$A$2:$B$1048576,2,FALSE)="WR",AA132,VLOOKUP(AB132,$A$2:$B$1048576,2,FALSE)="WR",AB132,VLOOKUP(AC132,$A$2:$B$1048576,2,FALSE)="WR",AC132,VLOOKUP(AD132,$A$2:$B$1048576,2,FALSE)="WR",AD132,VLOOKUP(AE132,$A$2:$B$1048576,2,FALSE)="WR",AE132,VLOOKUP(AF132,$A$2:$B$1048576,2,FALSE)="WR",AF132,VLOOKUP(AG132,$A$2:$B$1048576,2,FALSE)="WR",AG132,VLOOKUP(AH132,$A$2:$B$1048576,2,FALSE)="WR",AH132,VLOOKUP(AI132,$A$2:$B$1048576,2,FALSE)="WR",AI132)</f>
        <v>#N/A</v>
      </c>
      <c r="AO132" t="e">
        <f t="shared" si="15"/>
        <v>#N/A</v>
      </c>
      <c r="AP132" t="e">
        <f t="shared" si="16"/>
        <v>#N/A</v>
      </c>
      <c r="AQ132" t="e" cm="1">
        <f t="array" ref="AQ132">_xlfn.IFS(VLOOKUP(AA132,$A$2:$B$1048576,2,FALSE)="TE",AA132,VLOOKUP(AB132,$A$2:$B$1048576,2,FALSE)="TE",AB132,VLOOKUP(AC132,$A$2:$B$1048576,2,FALSE)="TE",AC132,VLOOKUP(AD132,$A$2:$B$1048576,2,FALSE)="TE",AD132,VLOOKUP(AE132,$A$2:$B$1048576,2,FALSE)="TE",AE132,VLOOKUP(AF132,$A$2:$B$1048576,2,FALSE)="TE",AF132,VLOOKUP(AG132,$A$2:$B$1048576,2,FALSE)="TE",AG132,VLOOKUP(AH132,$A$2:$B$1048576,2,FALSE)="TE",AH132,VLOOKUP(AI132,$A$2:$B$1048576,2,FALSE)="TE",AI132)</f>
        <v>#N/A</v>
      </c>
      <c r="AR132" t="e" cm="1">
        <f t="array" ref="AR132">_xlfn.IFS(IF(OR(AA132=AK132,AA132=AL132,AA132=AM132,AA132=AN132,AA132=AO132,AA132=AP132,AA132=AQ132,AA132=AS132),1,0)=0,AA132,IF(OR(AB132=AK132,AB132=AL132,AB132=AM132,AB132=AN132,AB132=AO132,AB132=AP132,AB132=AQ132,AB132=AS132),1,0)=0,AB132,IF(OR(AC132=AK132,AC132=AL132,AC132=AM132,AC132=AN132,AC132=AO132,AC132=AP132,AC132=AQ132,AC132=AS132),1,0)=0,AC132,IF(OR(AD132=AK132,AD132=AL132,AD132=AM132,AD132=AN132,AD132=AO132,AD132=AP132,AD132=AQ132,AD132=AS132),1,0)=0,AD132,IF(OR(AE132=AK132,AE132=AL132,AE132=AM132,AE132=AN132,AE132=AO132,AE132=AP132,AE132=AQ132,AE132=AS132),1,0)=0,AE132,IF(OR(AF132=AK132,AF132=AL132,AF132=AM132,AF132=AN132,AF132=AO132,AF132=AP132,AF132=AQ132,AF132=AS132),1,0)=0,AF132,IF(OR(AG132=AK132,AG132=AL132,AG132=AM132,AG132=AN132,AG132=AO132,AG132=AP132,AG132=AQ132,AG132=AS132),1,0)=0,AG132,IF(OR(AH132=AK132,AH132=AL132,AH132=AM132,AH132=AN132,AH132=AO132,AH132=AP132,AH132=AQ132,AH132=AS132),1,0)=0,AH132,IF(OR(AI132=AK132,AI132=AL132,AI132=AM132,AI132=AN132,AI132=AO132,AI132=AP132,AI132=AQ132,AI132=AS132),1,0)=0,AI132)</f>
        <v>#N/A</v>
      </c>
      <c r="AS132" t="e" cm="1">
        <f t="array" ref="AS132">_xlfn.IFS(VLOOKUP(AA132,$A$2:$B$1048576,2,FALSE)="DST",AA132,VLOOKUP(AB132,$A$2:$B$1048576,2,FALSE)="DST",AB132,VLOOKUP(AC132,$A$2:$B$1048576,2,FALSE)="DST",AC132,VLOOKUP(AD132,$A$2:$B$1048576,2,FALSE)="DST",AD132,VLOOKUP(AE132,$A$2:$B$1048576,2,FALSE)="DST",AE132,VLOOKUP(AF132,$A$2:$B$1048576,2,FALSE)="DST",AF132,VLOOKUP(AG132,$A$2:$B$1048576,2,FALSE)="DST",AG132,VLOOKUP(AH132,$A$2:$B$1048576,2,FALSE)="DST",AH132,VLOOKUP(AI132,$A$2:$B$1048576,2,FALSE)="DST",AI132)</f>
        <v>#N/A</v>
      </c>
    </row>
    <row r="133" spans="1:45" x14ac:dyDescent="0.35">
      <c r="A133" t="s">
        <v>156</v>
      </c>
      <c r="B133" s="11" t="s">
        <v>7</v>
      </c>
      <c r="C133" s="11">
        <v>6500</v>
      </c>
      <c r="D133" s="12">
        <v>21.555933333333336</v>
      </c>
      <c r="E133" s="12">
        <v>22.071913140462442</v>
      </c>
      <c r="F133" s="12">
        <v>52.889517200703708</v>
      </c>
      <c r="H133" s="11">
        <v>0</v>
      </c>
      <c r="I133">
        <f>IF(B133="QB",H133*1,0)</f>
        <v>0</v>
      </c>
      <c r="J133">
        <f>IF(B133="RB",H133*1,0)</f>
        <v>0</v>
      </c>
      <c r="K133">
        <f>IF(B133="WR",H133*1,0)</f>
        <v>0</v>
      </c>
      <c r="L133">
        <f>IF(B133="TE",H133*1,0)</f>
        <v>0</v>
      </c>
      <c r="M133">
        <f>IF(B133="DST",H133*1,0)</f>
        <v>0</v>
      </c>
      <c r="X133" s="11">
        <f t="shared" si="12"/>
        <v>1</v>
      </c>
      <c r="Y133" s="9">
        <v>132</v>
      </c>
      <c r="Z133" s="12">
        <f t="shared" si="13"/>
        <v>0</v>
      </c>
      <c r="AK133" t="e" cm="1">
        <f t="array" ref="AK133">_xlfn.IFS(VLOOKUP(AA133,$A$2:$B$1048576,2,FALSE)="QB",AA133,VLOOKUP(AB133,$A$2:$B$1048576,2,FALSE)="QB",AB133,VLOOKUP(AC133,$A$2:$B$1048576,2,FALSE)="QB",AC133,VLOOKUP(AD133,$A$2:$B$1048576,2,FALSE)="QB",AD133,VLOOKUP(AE133,$A$2:$B$1048576,2,FALSE)="QB",AE133,VLOOKUP(AF133,$A$2:$B$1048576,2,FALSE)="QB",AF133,VLOOKUP(AG133,$A$2:$B$1048576,2,FALSE)="QB",AG133,VLOOKUP(AH133,$A$2:$B$1048576,2,FALSE)="QB",AH133,VLOOKUP(AI133,$A$2:$B$1048576,2,FALSE)="QB",AI133)</f>
        <v>#N/A</v>
      </c>
      <c r="AL133" t="e" cm="1">
        <f t="array" ref="AL133">_xlfn.IFS(VLOOKUP(AA133,$A$2:$B$1048576,2,FALSE)="RB",AA133,VLOOKUP(AB133,$A$2:$B$1048576,2,FALSE)="RB",AB133,VLOOKUP(AC133,$A$2:$B$1048576,2,FALSE)="RB",AC133,VLOOKUP(AD133,$A$2:$B$1048576,2,FALSE)="RB",AD133,VLOOKUP(AE133,$A$2:$B$1048576,2,FALSE)="RB",AE133,VLOOKUP(AF133,$A$2:$B$1048576,2,FALSE)="RB",AF133,VLOOKUP(AG133,$A$2:$B$1048576,2,FALSE)="RB",AG133,VLOOKUP(AH133,$A$2:$B$1048576,2,FALSE)="RB",AH133,VLOOKUP(AI133,$A$2:$B$1048576,2,FALSE)="RB",AI133)</f>
        <v>#N/A</v>
      </c>
      <c r="AM133" t="e">
        <f t="shared" si="14"/>
        <v>#N/A</v>
      </c>
      <c r="AN133" t="e" cm="1">
        <f t="array" ref="AN133">_xlfn.IFS(VLOOKUP(AA133,$A$2:$B$1048576,2,FALSE)="WR",AA133,VLOOKUP(AB133,$A$2:$B$1048576,2,FALSE)="WR",AB133,VLOOKUP(AC133,$A$2:$B$1048576,2,FALSE)="WR",AC133,VLOOKUP(AD133,$A$2:$B$1048576,2,FALSE)="WR",AD133,VLOOKUP(AE133,$A$2:$B$1048576,2,FALSE)="WR",AE133,VLOOKUP(AF133,$A$2:$B$1048576,2,FALSE)="WR",AF133,VLOOKUP(AG133,$A$2:$B$1048576,2,FALSE)="WR",AG133,VLOOKUP(AH133,$A$2:$B$1048576,2,FALSE)="WR",AH133,VLOOKUP(AI133,$A$2:$B$1048576,2,FALSE)="WR",AI133)</f>
        <v>#N/A</v>
      </c>
      <c r="AO133" t="e">
        <f t="shared" si="15"/>
        <v>#N/A</v>
      </c>
      <c r="AP133" t="e">
        <f t="shared" si="16"/>
        <v>#N/A</v>
      </c>
      <c r="AQ133" t="e" cm="1">
        <f t="array" ref="AQ133">_xlfn.IFS(VLOOKUP(AA133,$A$2:$B$1048576,2,FALSE)="TE",AA133,VLOOKUP(AB133,$A$2:$B$1048576,2,FALSE)="TE",AB133,VLOOKUP(AC133,$A$2:$B$1048576,2,FALSE)="TE",AC133,VLOOKUP(AD133,$A$2:$B$1048576,2,FALSE)="TE",AD133,VLOOKUP(AE133,$A$2:$B$1048576,2,FALSE)="TE",AE133,VLOOKUP(AF133,$A$2:$B$1048576,2,FALSE)="TE",AF133,VLOOKUP(AG133,$A$2:$B$1048576,2,FALSE)="TE",AG133,VLOOKUP(AH133,$A$2:$B$1048576,2,FALSE)="TE",AH133,VLOOKUP(AI133,$A$2:$B$1048576,2,FALSE)="TE",AI133)</f>
        <v>#N/A</v>
      </c>
      <c r="AR133" t="e" cm="1">
        <f t="array" ref="AR133">_xlfn.IFS(IF(OR(AA133=AK133,AA133=AL133,AA133=AM133,AA133=AN133,AA133=AO133,AA133=AP133,AA133=AQ133,AA133=AS133),1,0)=0,AA133,IF(OR(AB133=AK133,AB133=AL133,AB133=AM133,AB133=AN133,AB133=AO133,AB133=AP133,AB133=AQ133,AB133=AS133),1,0)=0,AB133,IF(OR(AC133=AK133,AC133=AL133,AC133=AM133,AC133=AN133,AC133=AO133,AC133=AP133,AC133=AQ133,AC133=AS133),1,0)=0,AC133,IF(OR(AD133=AK133,AD133=AL133,AD133=AM133,AD133=AN133,AD133=AO133,AD133=AP133,AD133=AQ133,AD133=AS133),1,0)=0,AD133,IF(OR(AE133=AK133,AE133=AL133,AE133=AM133,AE133=AN133,AE133=AO133,AE133=AP133,AE133=AQ133,AE133=AS133),1,0)=0,AE133,IF(OR(AF133=AK133,AF133=AL133,AF133=AM133,AF133=AN133,AF133=AO133,AF133=AP133,AF133=AQ133,AF133=AS133),1,0)=0,AF133,IF(OR(AG133=AK133,AG133=AL133,AG133=AM133,AG133=AN133,AG133=AO133,AG133=AP133,AG133=AQ133,AG133=AS133),1,0)=0,AG133,IF(OR(AH133=AK133,AH133=AL133,AH133=AM133,AH133=AN133,AH133=AO133,AH133=AP133,AH133=AQ133,AH133=AS133),1,0)=0,AH133,IF(OR(AI133=AK133,AI133=AL133,AI133=AM133,AI133=AN133,AI133=AO133,AI133=AP133,AI133=AQ133,AI133=AS133),1,0)=0,AI133)</f>
        <v>#N/A</v>
      </c>
      <c r="AS133" t="e" cm="1">
        <f t="array" ref="AS133">_xlfn.IFS(VLOOKUP(AA133,$A$2:$B$1048576,2,FALSE)="DST",AA133,VLOOKUP(AB133,$A$2:$B$1048576,2,FALSE)="DST",AB133,VLOOKUP(AC133,$A$2:$B$1048576,2,FALSE)="DST",AC133,VLOOKUP(AD133,$A$2:$B$1048576,2,FALSE)="DST",AD133,VLOOKUP(AE133,$A$2:$B$1048576,2,FALSE)="DST",AE133,VLOOKUP(AF133,$A$2:$B$1048576,2,FALSE)="DST",AF133,VLOOKUP(AG133,$A$2:$B$1048576,2,FALSE)="DST",AG133,VLOOKUP(AH133,$A$2:$B$1048576,2,FALSE)="DST",AH133,VLOOKUP(AI133,$A$2:$B$1048576,2,FALSE)="DST",AI133)</f>
        <v>#N/A</v>
      </c>
    </row>
    <row r="134" spans="1:45" x14ac:dyDescent="0.35">
      <c r="A134" t="s">
        <v>157</v>
      </c>
      <c r="B134" s="11" t="s">
        <v>7</v>
      </c>
      <c r="C134" s="11">
        <v>6400</v>
      </c>
      <c r="D134" s="12">
        <v>20.048100000000005</v>
      </c>
      <c r="E134" s="12">
        <v>20.827103068723801</v>
      </c>
      <c r="F134" s="12">
        <v>48.265161910983096</v>
      </c>
      <c r="H134" s="11">
        <v>0</v>
      </c>
      <c r="I134">
        <f>IF(B134="QB",H134*1,0)</f>
        <v>0</v>
      </c>
      <c r="J134">
        <f>IF(B134="RB",H134*1,0)</f>
        <v>0</v>
      </c>
      <c r="K134">
        <f>IF(B134="WR",H134*1,0)</f>
        <v>0</v>
      </c>
      <c r="L134">
        <f>IF(B134="TE",H134*1,0)</f>
        <v>0</v>
      </c>
      <c r="M134">
        <f>IF(B134="DST",H134*1,0)</f>
        <v>0</v>
      </c>
      <c r="X134" s="11">
        <f t="shared" si="12"/>
        <v>1</v>
      </c>
      <c r="Y134" s="9">
        <v>133</v>
      </c>
      <c r="Z134" s="12">
        <f t="shared" si="13"/>
        <v>0</v>
      </c>
      <c r="AK134" t="e" cm="1">
        <f t="array" ref="AK134">_xlfn.IFS(VLOOKUP(AA134,$A$2:$B$1048576,2,FALSE)="QB",AA134,VLOOKUP(AB134,$A$2:$B$1048576,2,FALSE)="QB",AB134,VLOOKUP(AC134,$A$2:$B$1048576,2,FALSE)="QB",AC134,VLOOKUP(AD134,$A$2:$B$1048576,2,FALSE)="QB",AD134,VLOOKUP(AE134,$A$2:$B$1048576,2,FALSE)="QB",AE134,VLOOKUP(AF134,$A$2:$B$1048576,2,FALSE)="QB",AF134,VLOOKUP(AG134,$A$2:$B$1048576,2,FALSE)="QB",AG134,VLOOKUP(AH134,$A$2:$B$1048576,2,FALSE)="QB",AH134,VLOOKUP(AI134,$A$2:$B$1048576,2,FALSE)="QB",AI134)</f>
        <v>#N/A</v>
      </c>
      <c r="AL134" t="e" cm="1">
        <f t="array" ref="AL134">_xlfn.IFS(VLOOKUP(AA134,$A$2:$B$1048576,2,FALSE)="RB",AA134,VLOOKUP(AB134,$A$2:$B$1048576,2,FALSE)="RB",AB134,VLOOKUP(AC134,$A$2:$B$1048576,2,FALSE)="RB",AC134,VLOOKUP(AD134,$A$2:$B$1048576,2,FALSE)="RB",AD134,VLOOKUP(AE134,$A$2:$B$1048576,2,FALSE)="RB",AE134,VLOOKUP(AF134,$A$2:$B$1048576,2,FALSE)="RB",AF134,VLOOKUP(AG134,$A$2:$B$1048576,2,FALSE)="RB",AG134,VLOOKUP(AH134,$A$2:$B$1048576,2,FALSE)="RB",AH134,VLOOKUP(AI134,$A$2:$B$1048576,2,FALSE)="RB",AI134)</f>
        <v>#N/A</v>
      </c>
      <c r="AM134" t="e">
        <f t="shared" si="14"/>
        <v>#N/A</v>
      </c>
      <c r="AN134" t="e" cm="1">
        <f t="array" ref="AN134">_xlfn.IFS(VLOOKUP(AA134,$A$2:$B$1048576,2,FALSE)="WR",AA134,VLOOKUP(AB134,$A$2:$B$1048576,2,FALSE)="WR",AB134,VLOOKUP(AC134,$A$2:$B$1048576,2,FALSE)="WR",AC134,VLOOKUP(AD134,$A$2:$B$1048576,2,FALSE)="WR",AD134,VLOOKUP(AE134,$A$2:$B$1048576,2,FALSE)="WR",AE134,VLOOKUP(AF134,$A$2:$B$1048576,2,FALSE)="WR",AF134,VLOOKUP(AG134,$A$2:$B$1048576,2,FALSE)="WR",AG134,VLOOKUP(AH134,$A$2:$B$1048576,2,FALSE)="WR",AH134,VLOOKUP(AI134,$A$2:$B$1048576,2,FALSE)="WR",AI134)</f>
        <v>#N/A</v>
      </c>
      <c r="AO134" t="e">
        <f t="shared" si="15"/>
        <v>#N/A</v>
      </c>
      <c r="AP134" t="e">
        <f t="shared" si="16"/>
        <v>#N/A</v>
      </c>
      <c r="AQ134" t="e" cm="1">
        <f t="array" ref="AQ134">_xlfn.IFS(VLOOKUP(AA134,$A$2:$B$1048576,2,FALSE)="TE",AA134,VLOOKUP(AB134,$A$2:$B$1048576,2,FALSE)="TE",AB134,VLOOKUP(AC134,$A$2:$B$1048576,2,FALSE)="TE",AC134,VLOOKUP(AD134,$A$2:$B$1048576,2,FALSE)="TE",AD134,VLOOKUP(AE134,$A$2:$B$1048576,2,FALSE)="TE",AE134,VLOOKUP(AF134,$A$2:$B$1048576,2,FALSE)="TE",AF134,VLOOKUP(AG134,$A$2:$B$1048576,2,FALSE)="TE",AG134,VLOOKUP(AH134,$A$2:$B$1048576,2,FALSE)="TE",AH134,VLOOKUP(AI134,$A$2:$B$1048576,2,FALSE)="TE",AI134)</f>
        <v>#N/A</v>
      </c>
      <c r="AR134" t="e" cm="1">
        <f t="array" ref="AR134">_xlfn.IFS(IF(OR(AA134=AK134,AA134=AL134,AA134=AM134,AA134=AN134,AA134=AO134,AA134=AP134,AA134=AQ134,AA134=AS134),1,0)=0,AA134,IF(OR(AB134=AK134,AB134=AL134,AB134=AM134,AB134=AN134,AB134=AO134,AB134=AP134,AB134=AQ134,AB134=AS134),1,0)=0,AB134,IF(OR(AC134=AK134,AC134=AL134,AC134=AM134,AC134=AN134,AC134=AO134,AC134=AP134,AC134=AQ134,AC134=AS134),1,0)=0,AC134,IF(OR(AD134=AK134,AD134=AL134,AD134=AM134,AD134=AN134,AD134=AO134,AD134=AP134,AD134=AQ134,AD134=AS134),1,0)=0,AD134,IF(OR(AE134=AK134,AE134=AL134,AE134=AM134,AE134=AN134,AE134=AO134,AE134=AP134,AE134=AQ134,AE134=AS134),1,0)=0,AE134,IF(OR(AF134=AK134,AF134=AL134,AF134=AM134,AF134=AN134,AF134=AO134,AF134=AP134,AF134=AQ134,AF134=AS134),1,0)=0,AF134,IF(OR(AG134=AK134,AG134=AL134,AG134=AM134,AG134=AN134,AG134=AO134,AG134=AP134,AG134=AQ134,AG134=AS134),1,0)=0,AG134,IF(OR(AH134=AK134,AH134=AL134,AH134=AM134,AH134=AN134,AH134=AO134,AH134=AP134,AH134=AQ134,AH134=AS134),1,0)=0,AH134,IF(OR(AI134=AK134,AI134=AL134,AI134=AM134,AI134=AN134,AI134=AO134,AI134=AP134,AI134=AQ134,AI134=AS134),1,0)=0,AI134)</f>
        <v>#N/A</v>
      </c>
      <c r="AS134" t="e" cm="1">
        <f t="array" ref="AS134">_xlfn.IFS(VLOOKUP(AA134,$A$2:$B$1048576,2,FALSE)="DST",AA134,VLOOKUP(AB134,$A$2:$B$1048576,2,FALSE)="DST",AB134,VLOOKUP(AC134,$A$2:$B$1048576,2,FALSE)="DST",AC134,VLOOKUP(AD134,$A$2:$B$1048576,2,FALSE)="DST",AD134,VLOOKUP(AE134,$A$2:$B$1048576,2,FALSE)="DST",AE134,VLOOKUP(AF134,$A$2:$B$1048576,2,FALSE)="DST",AF134,VLOOKUP(AG134,$A$2:$B$1048576,2,FALSE)="DST",AG134,VLOOKUP(AH134,$A$2:$B$1048576,2,FALSE)="DST",AH134,VLOOKUP(AI134,$A$2:$B$1048576,2,FALSE)="DST",AI134)</f>
        <v>#N/A</v>
      </c>
    </row>
    <row r="135" spans="1:45" x14ac:dyDescent="0.35">
      <c r="A135" t="s">
        <v>158</v>
      </c>
      <c r="B135" s="11" t="s">
        <v>7</v>
      </c>
      <c r="C135" s="11">
        <v>5900</v>
      </c>
      <c r="D135" s="12">
        <v>18.550599999999999</v>
      </c>
      <c r="E135" s="12">
        <v>18.626494362002912</v>
      </c>
      <c r="F135" s="12">
        <v>43.765240340762709</v>
      </c>
      <c r="H135" s="11">
        <v>0</v>
      </c>
      <c r="I135">
        <f>IF(B135="QB",H135*1,0)</f>
        <v>0</v>
      </c>
      <c r="J135">
        <f>IF(B135="RB",H135*1,0)</f>
        <v>0</v>
      </c>
      <c r="K135">
        <f>IF(B135="WR",H135*1,0)</f>
        <v>0</v>
      </c>
      <c r="L135">
        <f>IF(B135="TE",H135*1,0)</f>
        <v>0</v>
      </c>
      <c r="M135">
        <f>IF(B135="DST",H135*1,0)</f>
        <v>0</v>
      </c>
      <c r="X135" s="11">
        <f t="shared" si="12"/>
        <v>1</v>
      </c>
      <c r="Y135" s="9">
        <v>134</v>
      </c>
      <c r="Z135" s="12">
        <f t="shared" si="13"/>
        <v>0</v>
      </c>
      <c r="AK135" t="e" cm="1">
        <f t="array" ref="AK135">_xlfn.IFS(VLOOKUP(AA135,$A$2:$B$1048576,2,FALSE)="QB",AA135,VLOOKUP(AB135,$A$2:$B$1048576,2,FALSE)="QB",AB135,VLOOKUP(AC135,$A$2:$B$1048576,2,FALSE)="QB",AC135,VLOOKUP(AD135,$A$2:$B$1048576,2,FALSE)="QB",AD135,VLOOKUP(AE135,$A$2:$B$1048576,2,FALSE)="QB",AE135,VLOOKUP(AF135,$A$2:$B$1048576,2,FALSE)="QB",AF135,VLOOKUP(AG135,$A$2:$B$1048576,2,FALSE)="QB",AG135,VLOOKUP(AH135,$A$2:$B$1048576,2,FALSE)="QB",AH135,VLOOKUP(AI135,$A$2:$B$1048576,2,FALSE)="QB",AI135)</f>
        <v>#N/A</v>
      </c>
      <c r="AL135" t="e" cm="1">
        <f t="array" ref="AL135">_xlfn.IFS(VLOOKUP(AA135,$A$2:$B$1048576,2,FALSE)="RB",AA135,VLOOKUP(AB135,$A$2:$B$1048576,2,FALSE)="RB",AB135,VLOOKUP(AC135,$A$2:$B$1048576,2,FALSE)="RB",AC135,VLOOKUP(AD135,$A$2:$B$1048576,2,FALSE)="RB",AD135,VLOOKUP(AE135,$A$2:$B$1048576,2,FALSE)="RB",AE135,VLOOKUP(AF135,$A$2:$B$1048576,2,FALSE)="RB",AF135,VLOOKUP(AG135,$A$2:$B$1048576,2,FALSE)="RB",AG135,VLOOKUP(AH135,$A$2:$B$1048576,2,FALSE)="RB",AH135,VLOOKUP(AI135,$A$2:$B$1048576,2,FALSE)="RB",AI135)</f>
        <v>#N/A</v>
      </c>
      <c r="AM135" t="e">
        <f t="shared" si="14"/>
        <v>#N/A</v>
      </c>
      <c r="AN135" t="e" cm="1">
        <f t="array" ref="AN135">_xlfn.IFS(VLOOKUP(AA135,$A$2:$B$1048576,2,FALSE)="WR",AA135,VLOOKUP(AB135,$A$2:$B$1048576,2,FALSE)="WR",AB135,VLOOKUP(AC135,$A$2:$B$1048576,2,FALSE)="WR",AC135,VLOOKUP(AD135,$A$2:$B$1048576,2,FALSE)="WR",AD135,VLOOKUP(AE135,$A$2:$B$1048576,2,FALSE)="WR",AE135,VLOOKUP(AF135,$A$2:$B$1048576,2,FALSE)="WR",AF135,VLOOKUP(AG135,$A$2:$B$1048576,2,FALSE)="WR",AG135,VLOOKUP(AH135,$A$2:$B$1048576,2,FALSE)="WR",AH135,VLOOKUP(AI135,$A$2:$B$1048576,2,FALSE)="WR",AI135)</f>
        <v>#N/A</v>
      </c>
      <c r="AO135" t="e">
        <f t="shared" si="15"/>
        <v>#N/A</v>
      </c>
      <c r="AP135" t="e">
        <f t="shared" si="16"/>
        <v>#N/A</v>
      </c>
      <c r="AQ135" t="e" cm="1">
        <f t="array" ref="AQ135">_xlfn.IFS(VLOOKUP(AA135,$A$2:$B$1048576,2,FALSE)="TE",AA135,VLOOKUP(AB135,$A$2:$B$1048576,2,FALSE)="TE",AB135,VLOOKUP(AC135,$A$2:$B$1048576,2,FALSE)="TE",AC135,VLOOKUP(AD135,$A$2:$B$1048576,2,FALSE)="TE",AD135,VLOOKUP(AE135,$A$2:$B$1048576,2,FALSE)="TE",AE135,VLOOKUP(AF135,$A$2:$B$1048576,2,FALSE)="TE",AF135,VLOOKUP(AG135,$A$2:$B$1048576,2,FALSE)="TE",AG135,VLOOKUP(AH135,$A$2:$B$1048576,2,FALSE)="TE",AH135,VLOOKUP(AI135,$A$2:$B$1048576,2,FALSE)="TE",AI135)</f>
        <v>#N/A</v>
      </c>
      <c r="AR135" t="e" cm="1">
        <f t="array" ref="AR135">_xlfn.IFS(IF(OR(AA135=AK135,AA135=AL135,AA135=AM135,AA135=AN135,AA135=AO135,AA135=AP135,AA135=AQ135,AA135=AS135),1,0)=0,AA135,IF(OR(AB135=AK135,AB135=AL135,AB135=AM135,AB135=AN135,AB135=AO135,AB135=AP135,AB135=AQ135,AB135=AS135),1,0)=0,AB135,IF(OR(AC135=AK135,AC135=AL135,AC135=AM135,AC135=AN135,AC135=AO135,AC135=AP135,AC135=AQ135,AC135=AS135),1,0)=0,AC135,IF(OR(AD135=AK135,AD135=AL135,AD135=AM135,AD135=AN135,AD135=AO135,AD135=AP135,AD135=AQ135,AD135=AS135),1,0)=0,AD135,IF(OR(AE135=AK135,AE135=AL135,AE135=AM135,AE135=AN135,AE135=AO135,AE135=AP135,AE135=AQ135,AE135=AS135),1,0)=0,AE135,IF(OR(AF135=AK135,AF135=AL135,AF135=AM135,AF135=AN135,AF135=AO135,AF135=AP135,AF135=AQ135,AF135=AS135),1,0)=0,AF135,IF(OR(AG135=AK135,AG135=AL135,AG135=AM135,AG135=AN135,AG135=AO135,AG135=AP135,AG135=AQ135,AG135=AS135),1,0)=0,AG135,IF(OR(AH135=AK135,AH135=AL135,AH135=AM135,AH135=AN135,AH135=AO135,AH135=AP135,AH135=AQ135,AH135=AS135),1,0)=0,AH135,IF(OR(AI135=AK135,AI135=AL135,AI135=AM135,AI135=AN135,AI135=AO135,AI135=AP135,AI135=AQ135,AI135=AS135),1,0)=0,AI135)</f>
        <v>#N/A</v>
      </c>
      <c r="AS135" t="e" cm="1">
        <f t="array" ref="AS135">_xlfn.IFS(VLOOKUP(AA135,$A$2:$B$1048576,2,FALSE)="DST",AA135,VLOOKUP(AB135,$A$2:$B$1048576,2,FALSE)="DST",AB135,VLOOKUP(AC135,$A$2:$B$1048576,2,FALSE)="DST",AC135,VLOOKUP(AD135,$A$2:$B$1048576,2,FALSE)="DST",AD135,VLOOKUP(AE135,$A$2:$B$1048576,2,FALSE)="DST",AE135,VLOOKUP(AF135,$A$2:$B$1048576,2,FALSE)="DST",AF135,VLOOKUP(AG135,$A$2:$B$1048576,2,FALSE)="DST",AG135,VLOOKUP(AH135,$A$2:$B$1048576,2,FALSE)="DST",AH135,VLOOKUP(AI135,$A$2:$B$1048576,2,FALSE)="DST",AI135)</f>
        <v>#N/A</v>
      </c>
    </row>
    <row r="136" spans="1:45" x14ac:dyDescent="0.35">
      <c r="A136" t="s">
        <v>159</v>
      </c>
      <c r="B136" s="11" t="s">
        <v>7</v>
      </c>
      <c r="C136" s="11">
        <v>6200</v>
      </c>
      <c r="D136" s="12">
        <v>19.882433333333335</v>
      </c>
      <c r="E136" s="12">
        <v>23.259187283914653</v>
      </c>
      <c r="F136" s="12">
        <v>47.799095152406665</v>
      </c>
      <c r="H136" s="11">
        <v>0</v>
      </c>
      <c r="I136">
        <f>IF(B136="QB",H136*1,0)</f>
        <v>0</v>
      </c>
      <c r="J136">
        <f>IF(B136="RB",H136*1,0)</f>
        <v>0</v>
      </c>
      <c r="K136">
        <f>IF(B136="WR",H136*1,0)</f>
        <v>0</v>
      </c>
      <c r="L136">
        <f>IF(B136="TE",H136*1,0)</f>
        <v>0</v>
      </c>
      <c r="M136">
        <f>IF(B136="DST",H136*1,0)</f>
        <v>0</v>
      </c>
      <c r="X136" s="11">
        <f t="shared" si="12"/>
        <v>1</v>
      </c>
      <c r="Y136" s="9">
        <v>135</v>
      </c>
      <c r="Z136" s="12">
        <f t="shared" si="13"/>
        <v>0</v>
      </c>
      <c r="AK136" t="e" cm="1">
        <f t="array" ref="AK136">_xlfn.IFS(VLOOKUP(AA136,$A$2:$B$1048576,2,FALSE)="QB",AA136,VLOOKUP(AB136,$A$2:$B$1048576,2,FALSE)="QB",AB136,VLOOKUP(AC136,$A$2:$B$1048576,2,FALSE)="QB",AC136,VLOOKUP(AD136,$A$2:$B$1048576,2,FALSE)="QB",AD136,VLOOKUP(AE136,$A$2:$B$1048576,2,FALSE)="QB",AE136,VLOOKUP(AF136,$A$2:$B$1048576,2,FALSE)="QB",AF136,VLOOKUP(AG136,$A$2:$B$1048576,2,FALSE)="QB",AG136,VLOOKUP(AH136,$A$2:$B$1048576,2,FALSE)="QB",AH136,VLOOKUP(AI136,$A$2:$B$1048576,2,FALSE)="QB",AI136)</f>
        <v>#N/A</v>
      </c>
      <c r="AL136" t="e" cm="1">
        <f t="array" ref="AL136">_xlfn.IFS(VLOOKUP(AA136,$A$2:$B$1048576,2,FALSE)="RB",AA136,VLOOKUP(AB136,$A$2:$B$1048576,2,FALSE)="RB",AB136,VLOOKUP(AC136,$A$2:$B$1048576,2,FALSE)="RB",AC136,VLOOKUP(AD136,$A$2:$B$1048576,2,FALSE)="RB",AD136,VLOOKUP(AE136,$A$2:$B$1048576,2,FALSE)="RB",AE136,VLOOKUP(AF136,$A$2:$B$1048576,2,FALSE)="RB",AF136,VLOOKUP(AG136,$A$2:$B$1048576,2,FALSE)="RB",AG136,VLOOKUP(AH136,$A$2:$B$1048576,2,FALSE)="RB",AH136,VLOOKUP(AI136,$A$2:$B$1048576,2,FALSE)="RB",AI136)</f>
        <v>#N/A</v>
      </c>
      <c r="AM136" t="e">
        <f t="shared" si="14"/>
        <v>#N/A</v>
      </c>
      <c r="AN136" t="e" cm="1">
        <f t="array" ref="AN136">_xlfn.IFS(VLOOKUP(AA136,$A$2:$B$1048576,2,FALSE)="WR",AA136,VLOOKUP(AB136,$A$2:$B$1048576,2,FALSE)="WR",AB136,VLOOKUP(AC136,$A$2:$B$1048576,2,FALSE)="WR",AC136,VLOOKUP(AD136,$A$2:$B$1048576,2,FALSE)="WR",AD136,VLOOKUP(AE136,$A$2:$B$1048576,2,FALSE)="WR",AE136,VLOOKUP(AF136,$A$2:$B$1048576,2,FALSE)="WR",AF136,VLOOKUP(AG136,$A$2:$B$1048576,2,FALSE)="WR",AG136,VLOOKUP(AH136,$A$2:$B$1048576,2,FALSE)="WR",AH136,VLOOKUP(AI136,$A$2:$B$1048576,2,FALSE)="WR",AI136)</f>
        <v>#N/A</v>
      </c>
      <c r="AO136" t="e">
        <f t="shared" si="15"/>
        <v>#N/A</v>
      </c>
      <c r="AP136" t="e">
        <f t="shared" si="16"/>
        <v>#N/A</v>
      </c>
      <c r="AQ136" t="e" cm="1">
        <f t="array" ref="AQ136">_xlfn.IFS(VLOOKUP(AA136,$A$2:$B$1048576,2,FALSE)="TE",AA136,VLOOKUP(AB136,$A$2:$B$1048576,2,FALSE)="TE",AB136,VLOOKUP(AC136,$A$2:$B$1048576,2,FALSE)="TE",AC136,VLOOKUP(AD136,$A$2:$B$1048576,2,FALSE)="TE",AD136,VLOOKUP(AE136,$A$2:$B$1048576,2,FALSE)="TE",AE136,VLOOKUP(AF136,$A$2:$B$1048576,2,FALSE)="TE",AF136,VLOOKUP(AG136,$A$2:$B$1048576,2,FALSE)="TE",AG136,VLOOKUP(AH136,$A$2:$B$1048576,2,FALSE)="TE",AH136,VLOOKUP(AI136,$A$2:$B$1048576,2,FALSE)="TE",AI136)</f>
        <v>#N/A</v>
      </c>
      <c r="AR136" t="e" cm="1">
        <f t="array" ref="AR136">_xlfn.IFS(IF(OR(AA136=AK136,AA136=AL136,AA136=AM136,AA136=AN136,AA136=AO136,AA136=AP136,AA136=AQ136,AA136=AS136),1,0)=0,AA136,IF(OR(AB136=AK136,AB136=AL136,AB136=AM136,AB136=AN136,AB136=AO136,AB136=AP136,AB136=AQ136,AB136=AS136),1,0)=0,AB136,IF(OR(AC136=AK136,AC136=AL136,AC136=AM136,AC136=AN136,AC136=AO136,AC136=AP136,AC136=AQ136,AC136=AS136),1,0)=0,AC136,IF(OR(AD136=AK136,AD136=AL136,AD136=AM136,AD136=AN136,AD136=AO136,AD136=AP136,AD136=AQ136,AD136=AS136),1,0)=0,AD136,IF(OR(AE136=AK136,AE136=AL136,AE136=AM136,AE136=AN136,AE136=AO136,AE136=AP136,AE136=AQ136,AE136=AS136),1,0)=0,AE136,IF(OR(AF136=AK136,AF136=AL136,AF136=AM136,AF136=AN136,AF136=AO136,AF136=AP136,AF136=AQ136,AF136=AS136),1,0)=0,AF136,IF(OR(AG136=AK136,AG136=AL136,AG136=AM136,AG136=AN136,AG136=AO136,AG136=AP136,AG136=AQ136,AG136=AS136),1,0)=0,AG136,IF(OR(AH136=AK136,AH136=AL136,AH136=AM136,AH136=AN136,AH136=AO136,AH136=AP136,AH136=AQ136,AH136=AS136),1,0)=0,AH136,IF(OR(AI136=AK136,AI136=AL136,AI136=AM136,AI136=AN136,AI136=AO136,AI136=AP136,AI136=AQ136,AI136=AS136),1,0)=0,AI136)</f>
        <v>#N/A</v>
      </c>
      <c r="AS136" t="e" cm="1">
        <f t="array" ref="AS136">_xlfn.IFS(VLOOKUP(AA136,$A$2:$B$1048576,2,FALSE)="DST",AA136,VLOOKUP(AB136,$A$2:$B$1048576,2,FALSE)="DST",AB136,VLOOKUP(AC136,$A$2:$B$1048576,2,FALSE)="DST",AC136,VLOOKUP(AD136,$A$2:$B$1048576,2,FALSE)="DST",AD136,VLOOKUP(AE136,$A$2:$B$1048576,2,FALSE)="DST",AE136,VLOOKUP(AF136,$A$2:$B$1048576,2,FALSE)="DST",AF136,VLOOKUP(AG136,$A$2:$B$1048576,2,FALSE)="DST",AG136,VLOOKUP(AH136,$A$2:$B$1048576,2,FALSE)="DST",AH136,VLOOKUP(AI136,$A$2:$B$1048576,2,FALSE)="DST",AI136)</f>
        <v>#N/A</v>
      </c>
    </row>
    <row r="137" spans="1:45" x14ac:dyDescent="0.35">
      <c r="A137" t="s">
        <v>160</v>
      </c>
      <c r="B137" s="11" t="s">
        <v>7</v>
      </c>
      <c r="C137" s="11">
        <v>5900</v>
      </c>
      <c r="D137" s="12">
        <v>19.4756</v>
      </c>
      <c r="E137" s="12">
        <v>20.074642197402699</v>
      </c>
      <c r="F137" s="12">
        <v>46.614177236949146</v>
      </c>
      <c r="H137" s="11">
        <v>0</v>
      </c>
      <c r="I137">
        <f>IF(B137="QB",H137*1,0)</f>
        <v>0</v>
      </c>
      <c r="J137">
        <f>IF(B137="RB",H137*1,0)</f>
        <v>0</v>
      </c>
      <c r="K137">
        <f>IF(B137="WR",H137*1,0)</f>
        <v>0</v>
      </c>
      <c r="L137">
        <f>IF(B137="TE",H137*1,0)</f>
        <v>0</v>
      </c>
      <c r="M137">
        <f>IF(B137="DST",H137*1,0)</f>
        <v>0</v>
      </c>
      <c r="X137" s="11">
        <f t="shared" si="12"/>
        <v>1</v>
      </c>
      <c r="Y137" s="9">
        <v>136</v>
      </c>
      <c r="Z137" s="12">
        <f t="shared" si="13"/>
        <v>0</v>
      </c>
      <c r="AK137" t="e" cm="1">
        <f t="array" ref="AK137">_xlfn.IFS(VLOOKUP(AA137,$A$2:$B$1048576,2,FALSE)="QB",AA137,VLOOKUP(AB137,$A$2:$B$1048576,2,FALSE)="QB",AB137,VLOOKUP(AC137,$A$2:$B$1048576,2,FALSE)="QB",AC137,VLOOKUP(AD137,$A$2:$B$1048576,2,FALSE)="QB",AD137,VLOOKUP(AE137,$A$2:$B$1048576,2,FALSE)="QB",AE137,VLOOKUP(AF137,$A$2:$B$1048576,2,FALSE)="QB",AF137,VLOOKUP(AG137,$A$2:$B$1048576,2,FALSE)="QB",AG137,VLOOKUP(AH137,$A$2:$B$1048576,2,FALSE)="QB",AH137,VLOOKUP(AI137,$A$2:$B$1048576,2,FALSE)="QB",AI137)</f>
        <v>#N/A</v>
      </c>
      <c r="AL137" t="e" cm="1">
        <f t="array" ref="AL137">_xlfn.IFS(VLOOKUP(AA137,$A$2:$B$1048576,2,FALSE)="RB",AA137,VLOOKUP(AB137,$A$2:$B$1048576,2,FALSE)="RB",AB137,VLOOKUP(AC137,$A$2:$B$1048576,2,FALSE)="RB",AC137,VLOOKUP(AD137,$A$2:$B$1048576,2,FALSE)="RB",AD137,VLOOKUP(AE137,$A$2:$B$1048576,2,FALSE)="RB",AE137,VLOOKUP(AF137,$A$2:$B$1048576,2,FALSE)="RB",AF137,VLOOKUP(AG137,$A$2:$B$1048576,2,FALSE)="RB",AG137,VLOOKUP(AH137,$A$2:$B$1048576,2,FALSE)="RB",AH137,VLOOKUP(AI137,$A$2:$B$1048576,2,FALSE)="RB",AI137)</f>
        <v>#N/A</v>
      </c>
      <c r="AM137" t="e">
        <f t="shared" si="14"/>
        <v>#N/A</v>
      </c>
      <c r="AN137" t="e" cm="1">
        <f t="array" ref="AN137">_xlfn.IFS(VLOOKUP(AA137,$A$2:$B$1048576,2,FALSE)="WR",AA137,VLOOKUP(AB137,$A$2:$B$1048576,2,FALSE)="WR",AB137,VLOOKUP(AC137,$A$2:$B$1048576,2,FALSE)="WR",AC137,VLOOKUP(AD137,$A$2:$B$1048576,2,FALSE)="WR",AD137,VLOOKUP(AE137,$A$2:$B$1048576,2,FALSE)="WR",AE137,VLOOKUP(AF137,$A$2:$B$1048576,2,FALSE)="WR",AF137,VLOOKUP(AG137,$A$2:$B$1048576,2,FALSE)="WR",AG137,VLOOKUP(AH137,$A$2:$B$1048576,2,FALSE)="WR",AH137,VLOOKUP(AI137,$A$2:$B$1048576,2,FALSE)="WR",AI137)</f>
        <v>#N/A</v>
      </c>
      <c r="AO137" t="e">
        <f t="shared" si="15"/>
        <v>#N/A</v>
      </c>
      <c r="AP137" t="e">
        <f t="shared" si="16"/>
        <v>#N/A</v>
      </c>
      <c r="AQ137" t="e" cm="1">
        <f t="array" ref="AQ137">_xlfn.IFS(VLOOKUP(AA137,$A$2:$B$1048576,2,FALSE)="TE",AA137,VLOOKUP(AB137,$A$2:$B$1048576,2,FALSE)="TE",AB137,VLOOKUP(AC137,$A$2:$B$1048576,2,FALSE)="TE",AC137,VLOOKUP(AD137,$A$2:$B$1048576,2,FALSE)="TE",AD137,VLOOKUP(AE137,$A$2:$B$1048576,2,FALSE)="TE",AE137,VLOOKUP(AF137,$A$2:$B$1048576,2,FALSE)="TE",AF137,VLOOKUP(AG137,$A$2:$B$1048576,2,FALSE)="TE",AG137,VLOOKUP(AH137,$A$2:$B$1048576,2,FALSE)="TE",AH137,VLOOKUP(AI137,$A$2:$B$1048576,2,FALSE)="TE",AI137)</f>
        <v>#N/A</v>
      </c>
      <c r="AR137" t="e" cm="1">
        <f t="array" ref="AR137">_xlfn.IFS(IF(OR(AA137=AK137,AA137=AL137,AA137=AM137,AA137=AN137,AA137=AO137,AA137=AP137,AA137=AQ137,AA137=AS137),1,0)=0,AA137,IF(OR(AB137=AK137,AB137=AL137,AB137=AM137,AB137=AN137,AB137=AO137,AB137=AP137,AB137=AQ137,AB137=AS137),1,0)=0,AB137,IF(OR(AC137=AK137,AC137=AL137,AC137=AM137,AC137=AN137,AC137=AO137,AC137=AP137,AC137=AQ137,AC137=AS137),1,0)=0,AC137,IF(OR(AD137=AK137,AD137=AL137,AD137=AM137,AD137=AN137,AD137=AO137,AD137=AP137,AD137=AQ137,AD137=AS137),1,0)=0,AD137,IF(OR(AE137=AK137,AE137=AL137,AE137=AM137,AE137=AN137,AE137=AO137,AE137=AP137,AE137=AQ137,AE137=AS137),1,0)=0,AE137,IF(OR(AF137=AK137,AF137=AL137,AF137=AM137,AF137=AN137,AF137=AO137,AF137=AP137,AF137=AQ137,AF137=AS137),1,0)=0,AF137,IF(OR(AG137=AK137,AG137=AL137,AG137=AM137,AG137=AN137,AG137=AO137,AG137=AP137,AG137=AQ137,AG137=AS137),1,0)=0,AG137,IF(OR(AH137=AK137,AH137=AL137,AH137=AM137,AH137=AN137,AH137=AO137,AH137=AP137,AH137=AQ137,AH137=AS137),1,0)=0,AH137,IF(OR(AI137=AK137,AI137=AL137,AI137=AM137,AI137=AN137,AI137=AO137,AI137=AP137,AI137=AQ137,AI137=AS137),1,0)=0,AI137)</f>
        <v>#N/A</v>
      </c>
      <c r="AS137" t="e" cm="1">
        <f t="array" ref="AS137">_xlfn.IFS(VLOOKUP(AA137,$A$2:$B$1048576,2,FALSE)="DST",AA137,VLOOKUP(AB137,$A$2:$B$1048576,2,FALSE)="DST",AB137,VLOOKUP(AC137,$A$2:$B$1048576,2,FALSE)="DST",AC137,VLOOKUP(AD137,$A$2:$B$1048576,2,FALSE)="DST",AD137,VLOOKUP(AE137,$A$2:$B$1048576,2,FALSE)="DST",AE137,VLOOKUP(AF137,$A$2:$B$1048576,2,FALSE)="DST",AF137,VLOOKUP(AG137,$A$2:$B$1048576,2,FALSE)="DST",AG137,VLOOKUP(AH137,$A$2:$B$1048576,2,FALSE)="DST",AH137,VLOOKUP(AI137,$A$2:$B$1048576,2,FALSE)="DST",AI137)</f>
        <v>#N/A</v>
      </c>
    </row>
    <row r="138" spans="1:45" x14ac:dyDescent="0.35">
      <c r="A138" t="s">
        <v>161</v>
      </c>
      <c r="B138" s="11" t="s">
        <v>7</v>
      </c>
      <c r="C138" s="11">
        <v>6800</v>
      </c>
      <c r="D138" s="12">
        <v>26.354433333333333</v>
      </c>
      <c r="E138" s="12">
        <v>29.499398458761465</v>
      </c>
      <c r="F138" s="12">
        <v>67.697665805298882</v>
      </c>
      <c r="H138" s="11">
        <v>0</v>
      </c>
      <c r="I138">
        <f>IF(B138="QB",H138*1,0)</f>
        <v>0</v>
      </c>
      <c r="J138">
        <f>IF(B138="RB",H138*1,0)</f>
        <v>0</v>
      </c>
      <c r="K138">
        <f>IF(B138="WR",H138*1,0)</f>
        <v>0</v>
      </c>
      <c r="L138">
        <f>IF(B138="TE",H138*1,0)</f>
        <v>0</v>
      </c>
      <c r="M138">
        <f>IF(B138="DST",H138*1,0)</f>
        <v>0</v>
      </c>
      <c r="X138" s="11">
        <f t="shared" si="12"/>
        <v>1</v>
      </c>
      <c r="Y138" s="9">
        <v>137</v>
      </c>
      <c r="Z138" s="12">
        <f t="shared" si="13"/>
        <v>0</v>
      </c>
      <c r="AK138" t="e" cm="1">
        <f t="array" ref="AK138">_xlfn.IFS(VLOOKUP(AA138,$A$2:$B$1048576,2,FALSE)="QB",AA138,VLOOKUP(AB138,$A$2:$B$1048576,2,FALSE)="QB",AB138,VLOOKUP(AC138,$A$2:$B$1048576,2,FALSE)="QB",AC138,VLOOKUP(AD138,$A$2:$B$1048576,2,FALSE)="QB",AD138,VLOOKUP(AE138,$A$2:$B$1048576,2,FALSE)="QB",AE138,VLOOKUP(AF138,$A$2:$B$1048576,2,FALSE)="QB",AF138,VLOOKUP(AG138,$A$2:$B$1048576,2,FALSE)="QB",AG138,VLOOKUP(AH138,$A$2:$B$1048576,2,FALSE)="QB",AH138,VLOOKUP(AI138,$A$2:$B$1048576,2,FALSE)="QB",AI138)</f>
        <v>#N/A</v>
      </c>
      <c r="AL138" t="e" cm="1">
        <f t="array" ref="AL138">_xlfn.IFS(VLOOKUP(AA138,$A$2:$B$1048576,2,FALSE)="RB",AA138,VLOOKUP(AB138,$A$2:$B$1048576,2,FALSE)="RB",AB138,VLOOKUP(AC138,$A$2:$B$1048576,2,FALSE)="RB",AC138,VLOOKUP(AD138,$A$2:$B$1048576,2,FALSE)="RB",AD138,VLOOKUP(AE138,$A$2:$B$1048576,2,FALSE)="RB",AE138,VLOOKUP(AF138,$A$2:$B$1048576,2,FALSE)="RB",AF138,VLOOKUP(AG138,$A$2:$B$1048576,2,FALSE)="RB",AG138,VLOOKUP(AH138,$A$2:$B$1048576,2,FALSE)="RB",AH138,VLOOKUP(AI138,$A$2:$B$1048576,2,FALSE)="RB",AI138)</f>
        <v>#N/A</v>
      </c>
      <c r="AM138" t="e">
        <f t="shared" si="14"/>
        <v>#N/A</v>
      </c>
      <c r="AN138" t="e" cm="1">
        <f t="array" ref="AN138">_xlfn.IFS(VLOOKUP(AA138,$A$2:$B$1048576,2,FALSE)="WR",AA138,VLOOKUP(AB138,$A$2:$B$1048576,2,FALSE)="WR",AB138,VLOOKUP(AC138,$A$2:$B$1048576,2,FALSE)="WR",AC138,VLOOKUP(AD138,$A$2:$B$1048576,2,FALSE)="WR",AD138,VLOOKUP(AE138,$A$2:$B$1048576,2,FALSE)="WR",AE138,VLOOKUP(AF138,$A$2:$B$1048576,2,FALSE)="WR",AF138,VLOOKUP(AG138,$A$2:$B$1048576,2,FALSE)="WR",AG138,VLOOKUP(AH138,$A$2:$B$1048576,2,FALSE)="WR",AH138,VLOOKUP(AI138,$A$2:$B$1048576,2,FALSE)="WR",AI138)</f>
        <v>#N/A</v>
      </c>
      <c r="AO138" t="e">
        <f t="shared" si="15"/>
        <v>#N/A</v>
      </c>
      <c r="AP138" t="e">
        <f t="shared" si="16"/>
        <v>#N/A</v>
      </c>
      <c r="AQ138" t="e" cm="1">
        <f t="array" ref="AQ138">_xlfn.IFS(VLOOKUP(AA138,$A$2:$B$1048576,2,FALSE)="TE",AA138,VLOOKUP(AB138,$A$2:$B$1048576,2,FALSE)="TE",AB138,VLOOKUP(AC138,$A$2:$B$1048576,2,FALSE)="TE",AC138,VLOOKUP(AD138,$A$2:$B$1048576,2,FALSE)="TE",AD138,VLOOKUP(AE138,$A$2:$B$1048576,2,FALSE)="TE",AE138,VLOOKUP(AF138,$A$2:$B$1048576,2,FALSE)="TE",AF138,VLOOKUP(AG138,$A$2:$B$1048576,2,FALSE)="TE",AG138,VLOOKUP(AH138,$A$2:$B$1048576,2,FALSE)="TE",AH138,VLOOKUP(AI138,$A$2:$B$1048576,2,FALSE)="TE",AI138)</f>
        <v>#N/A</v>
      </c>
      <c r="AR138" t="e" cm="1">
        <f t="array" ref="AR138">_xlfn.IFS(IF(OR(AA138=AK138,AA138=AL138,AA138=AM138,AA138=AN138,AA138=AO138,AA138=AP138,AA138=AQ138,AA138=AS138),1,0)=0,AA138,IF(OR(AB138=AK138,AB138=AL138,AB138=AM138,AB138=AN138,AB138=AO138,AB138=AP138,AB138=AQ138,AB138=AS138),1,0)=0,AB138,IF(OR(AC138=AK138,AC138=AL138,AC138=AM138,AC138=AN138,AC138=AO138,AC138=AP138,AC138=AQ138,AC138=AS138),1,0)=0,AC138,IF(OR(AD138=AK138,AD138=AL138,AD138=AM138,AD138=AN138,AD138=AO138,AD138=AP138,AD138=AQ138,AD138=AS138),1,0)=0,AD138,IF(OR(AE138=AK138,AE138=AL138,AE138=AM138,AE138=AN138,AE138=AO138,AE138=AP138,AE138=AQ138,AE138=AS138),1,0)=0,AE138,IF(OR(AF138=AK138,AF138=AL138,AF138=AM138,AF138=AN138,AF138=AO138,AF138=AP138,AF138=AQ138,AF138=AS138),1,0)=0,AF138,IF(OR(AG138=AK138,AG138=AL138,AG138=AM138,AG138=AN138,AG138=AO138,AG138=AP138,AG138=AQ138,AG138=AS138),1,0)=0,AG138,IF(OR(AH138=AK138,AH138=AL138,AH138=AM138,AH138=AN138,AH138=AO138,AH138=AP138,AH138=AQ138,AH138=AS138),1,0)=0,AH138,IF(OR(AI138=AK138,AI138=AL138,AI138=AM138,AI138=AN138,AI138=AO138,AI138=AP138,AI138=AQ138,AI138=AS138),1,0)=0,AI138)</f>
        <v>#N/A</v>
      </c>
      <c r="AS138" t="e" cm="1">
        <f t="array" ref="AS138">_xlfn.IFS(VLOOKUP(AA138,$A$2:$B$1048576,2,FALSE)="DST",AA138,VLOOKUP(AB138,$A$2:$B$1048576,2,FALSE)="DST",AB138,VLOOKUP(AC138,$A$2:$B$1048576,2,FALSE)="DST",AC138,VLOOKUP(AD138,$A$2:$B$1048576,2,FALSE)="DST",AD138,VLOOKUP(AE138,$A$2:$B$1048576,2,FALSE)="DST",AE138,VLOOKUP(AF138,$A$2:$B$1048576,2,FALSE)="DST",AF138,VLOOKUP(AG138,$A$2:$B$1048576,2,FALSE)="DST",AG138,VLOOKUP(AH138,$A$2:$B$1048576,2,FALSE)="DST",AH138,VLOOKUP(AI138,$A$2:$B$1048576,2,FALSE)="DST",AI138)</f>
        <v>#N/A</v>
      </c>
    </row>
    <row r="139" spans="1:45" x14ac:dyDescent="0.35">
      <c r="A139" t="s">
        <v>162</v>
      </c>
      <c r="B139" s="11" t="s">
        <v>7</v>
      </c>
      <c r="C139" s="11">
        <v>5500</v>
      </c>
      <c r="D139" s="12">
        <v>13.220933333333337</v>
      </c>
      <c r="E139" s="12">
        <v>14.305939809344205</v>
      </c>
      <c r="F139" s="12">
        <v>27.554100162195294</v>
      </c>
      <c r="H139" s="11">
        <v>0</v>
      </c>
      <c r="I139">
        <f>IF(B139="QB",H139*1,0)</f>
        <v>0</v>
      </c>
      <c r="J139">
        <f>IF(B139="RB",H139*1,0)</f>
        <v>0</v>
      </c>
      <c r="K139">
        <f>IF(B139="WR",H139*1,0)</f>
        <v>0</v>
      </c>
      <c r="L139">
        <f>IF(B139="TE",H139*1,0)</f>
        <v>0</v>
      </c>
      <c r="M139">
        <f>IF(B139="DST",H139*1,0)</f>
        <v>0</v>
      </c>
      <c r="X139" s="11">
        <f t="shared" si="12"/>
        <v>1</v>
      </c>
      <c r="Y139" s="9">
        <v>138</v>
      </c>
      <c r="Z139" s="12">
        <f t="shared" si="13"/>
        <v>0</v>
      </c>
      <c r="AK139" t="e" cm="1">
        <f t="array" ref="AK139">_xlfn.IFS(VLOOKUP(AA139,$A$2:$B$1048576,2,FALSE)="QB",AA139,VLOOKUP(AB139,$A$2:$B$1048576,2,FALSE)="QB",AB139,VLOOKUP(AC139,$A$2:$B$1048576,2,FALSE)="QB",AC139,VLOOKUP(AD139,$A$2:$B$1048576,2,FALSE)="QB",AD139,VLOOKUP(AE139,$A$2:$B$1048576,2,FALSE)="QB",AE139,VLOOKUP(AF139,$A$2:$B$1048576,2,FALSE)="QB",AF139,VLOOKUP(AG139,$A$2:$B$1048576,2,FALSE)="QB",AG139,VLOOKUP(AH139,$A$2:$B$1048576,2,FALSE)="QB",AH139,VLOOKUP(AI139,$A$2:$B$1048576,2,FALSE)="QB",AI139)</f>
        <v>#N/A</v>
      </c>
      <c r="AL139" t="e" cm="1">
        <f t="array" ref="AL139">_xlfn.IFS(VLOOKUP(AA139,$A$2:$B$1048576,2,FALSE)="RB",AA139,VLOOKUP(AB139,$A$2:$B$1048576,2,FALSE)="RB",AB139,VLOOKUP(AC139,$A$2:$B$1048576,2,FALSE)="RB",AC139,VLOOKUP(AD139,$A$2:$B$1048576,2,FALSE)="RB",AD139,VLOOKUP(AE139,$A$2:$B$1048576,2,FALSE)="RB",AE139,VLOOKUP(AF139,$A$2:$B$1048576,2,FALSE)="RB",AF139,VLOOKUP(AG139,$A$2:$B$1048576,2,FALSE)="RB",AG139,VLOOKUP(AH139,$A$2:$B$1048576,2,FALSE)="RB",AH139,VLOOKUP(AI139,$A$2:$B$1048576,2,FALSE)="RB",AI139)</f>
        <v>#N/A</v>
      </c>
      <c r="AM139" t="e">
        <f t="shared" si="14"/>
        <v>#N/A</v>
      </c>
      <c r="AN139" t="e" cm="1">
        <f t="array" ref="AN139">_xlfn.IFS(VLOOKUP(AA139,$A$2:$B$1048576,2,FALSE)="WR",AA139,VLOOKUP(AB139,$A$2:$B$1048576,2,FALSE)="WR",AB139,VLOOKUP(AC139,$A$2:$B$1048576,2,FALSE)="WR",AC139,VLOOKUP(AD139,$A$2:$B$1048576,2,FALSE)="WR",AD139,VLOOKUP(AE139,$A$2:$B$1048576,2,FALSE)="WR",AE139,VLOOKUP(AF139,$A$2:$B$1048576,2,FALSE)="WR",AF139,VLOOKUP(AG139,$A$2:$B$1048576,2,FALSE)="WR",AG139,VLOOKUP(AH139,$A$2:$B$1048576,2,FALSE)="WR",AH139,VLOOKUP(AI139,$A$2:$B$1048576,2,FALSE)="WR",AI139)</f>
        <v>#N/A</v>
      </c>
      <c r="AO139" t="e">
        <f t="shared" si="15"/>
        <v>#N/A</v>
      </c>
      <c r="AP139" t="e">
        <f t="shared" si="16"/>
        <v>#N/A</v>
      </c>
      <c r="AQ139" t="e" cm="1">
        <f t="array" ref="AQ139">_xlfn.IFS(VLOOKUP(AA139,$A$2:$B$1048576,2,FALSE)="TE",AA139,VLOOKUP(AB139,$A$2:$B$1048576,2,FALSE)="TE",AB139,VLOOKUP(AC139,$A$2:$B$1048576,2,FALSE)="TE",AC139,VLOOKUP(AD139,$A$2:$B$1048576,2,FALSE)="TE",AD139,VLOOKUP(AE139,$A$2:$B$1048576,2,FALSE)="TE",AE139,VLOOKUP(AF139,$A$2:$B$1048576,2,FALSE)="TE",AF139,VLOOKUP(AG139,$A$2:$B$1048576,2,FALSE)="TE",AG139,VLOOKUP(AH139,$A$2:$B$1048576,2,FALSE)="TE",AH139,VLOOKUP(AI139,$A$2:$B$1048576,2,FALSE)="TE",AI139)</f>
        <v>#N/A</v>
      </c>
      <c r="AR139" t="e" cm="1">
        <f t="array" ref="AR139">_xlfn.IFS(IF(OR(AA139=AK139,AA139=AL139,AA139=AM139,AA139=AN139,AA139=AO139,AA139=AP139,AA139=AQ139,AA139=AS139),1,0)=0,AA139,IF(OR(AB139=AK139,AB139=AL139,AB139=AM139,AB139=AN139,AB139=AO139,AB139=AP139,AB139=AQ139,AB139=AS139),1,0)=0,AB139,IF(OR(AC139=AK139,AC139=AL139,AC139=AM139,AC139=AN139,AC139=AO139,AC139=AP139,AC139=AQ139,AC139=AS139),1,0)=0,AC139,IF(OR(AD139=AK139,AD139=AL139,AD139=AM139,AD139=AN139,AD139=AO139,AD139=AP139,AD139=AQ139,AD139=AS139),1,0)=0,AD139,IF(OR(AE139=AK139,AE139=AL139,AE139=AM139,AE139=AN139,AE139=AO139,AE139=AP139,AE139=AQ139,AE139=AS139),1,0)=0,AE139,IF(OR(AF139=AK139,AF139=AL139,AF139=AM139,AF139=AN139,AF139=AO139,AF139=AP139,AF139=AQ139,AF139=AS139),1,0)=0,AF139,IF(OR(AG139=AK139,AG139=AL139,AG139=AM139,AG139=AN139,AG139=AO139,AG139=AP139,AG139=AQ139,AG139=AS139),1,0)=0,AG139,IF(OR(AH139=AK139,AH139=AL139,AH139=AM139,AH139=AN139,AH139=AO139,AH139=AP139,AH139=AQ139,AH139=AS139),1,0)=0,AH139,IF(OR(AI139=AK139,AI139=AL139,AI139=AM139,AI139=AN139,AI139=AO139,AI139=AP139,AI139=AQ139,AI139=AS139),1,0)=0,AI139)</f>
        <v>#N/A</v>
      </c>
      <c r="AS139" t="e" cm="1">
        <f t="array" ref="AS139">_xlfn.IFS(VLOOKUP(AA139,$A$2:$B$1048576,2,FALSE)="DST",AA139,VLOOKUP(AB139,$A$2:$B$1048576,2,FALSE)="DST",AB139,VLOOKUP(AC139,$A$2:$B$1048576,2,FALSE)="DST",AC139,VLOOKUP(AD139,$A$2:$B$1048576,2,FALSE)="DST",AD139,VLOOKUP(AE139,$A$2:$B$1048576,2,FALSE)="DST",AE139,VLOOKUP(AF139,$A$2:$B$1048576,2,FALSE)="DST",AF139,VLOOKUP(AG139,$A$2:$B$1048576,2,FALSE)="DST",AG139,VLOOKUP(AH139,$A$2:$B$1048576,2,FALSE)="DST",AH139,VLOOKUP(AI139,$A$2:$B$1048576,2,FALSE)="DST",AI139)</f>
        <v>#N/A</v>
      </c>
    </row>
    <row r="140" spans="1:45" x14ac:dyDescent="0.35">
      <c r="A140" t="s">
        <v>163</v>
      </c>
      <c r="B140" s="11" t="s">
        <v>7</v>
      </c>
      <c r="C140" s="11">
        <v>5300</v>
      </c>
      <c r="D140" s="12">
        <v>11.774433333333334</v>
      </c>
      <c r="E140" s="12">
        <v>13.963658274760512</v>
      </c>
      <c r="F140" s="12">
        <v>23.197722847679078</v>
      </c>
      <c r="H140" s="11">
        <v>0</v>
      </c>
      <c r="I140">
        <f>IF(B140="QB",H140*1,0)</f>
        <v>0</v>
      </c>
      <c r="J140">
        <f>IF(B140="RB",H140*1,0)</f>
        <v>0</v>
      </c>
      <c r="K140">
        <f>IF(B140="WR",H140*1,0)</f>
        <v>0</v>
      </c>
      <c r="L140">
        <f>IF(B140="TE",H140*1,0)</f>
        <v>0</v>
      </c>
      <c r="M140">
        <f>IF(B140="DST",H140*1,0)</f>
        <v>0</v>
      </c>
      <c r="X140" s="11">
        <f t="shared" si="12"/>
        <v>1</v>
      </c>
      <c r="Y140" s="9">
        <v>139</v>
      </c>
      <c r="Z140" s="12">
        <f t="shared" si="13"/>
        <v>0</v>
      </c>
      <c r="AK140" t="e" cm="1">
        <f t="array" ref="AK140">_xlfn.IFS(VLOOKUP(AA140,$A$2:$B$1048576,2,FALSE)="QB",AA140,VLOOKUP(AB140,$A$2:$B$1048576,2,FALSE)="QB",AB140,VLOOKUP(AC140,$A$2:$B$1048576,2,FALSE)="QB",AC140,VLOOKUP(AD140,$A$2:$B$1048576,2,FALSE)="QB",AD140,VLOOKUP(AE140,$A$2:$B$1048576,2,FALSE)="QB",AE140,VLOOKUP(AF140,$A$2:$B$1048576,2,FALSE)="QB",AF140,VLOOKUP(AG140,$A$2:$B$1048576,2,FALSE)="QB",AG140,VLOOKUP(AH140,$A$2:$B$1048576,2,FALSE)="QB",AH140,VLOOKUP(AI140,$A$2:$B$1048576,2,FALSE)="QB",AI140)</f>
        <v>#N/A</v>
      </c>
      <c r="AL140" t="e" cm="1">
        <f t="array" ref="AL140">_xlfn.IFS(VLOOKUP(AA140,$A$2:$B$1048576,2,FALSE)="RB",AA140,VLOOKUP(AB140,$A$2:$B$1048576,2,FALSE)="RB",AB140,VLOOKUP(AC140,$A$2:$B$1048576,2,FALSE)="RB",AC140,VLOOKUP(AD140,$A$2:$B$1048576,2,FALSE)="RB",AD140,VLOOKUP(AE140,$A$2:$B$1048576,2,FALSE)="RB",AE140,VLOOKUP(AF140,$A$2:$B$1048576,2,FALSE)="RB",AF140,VLOOKUP(AG140,$A$2:$B$1048576,2,FALSE)="RB",AG140,VLOOKUP(AH140,$A$2:$B$1048576,2,FALSE)="RB",AH140,VLOOKUP(AI140,$A$2:$B$1048576,2,FALSE)="RB",AI140)</f>
        <v>#N/A</v>
      </c>
      <c r="AM140" t="e">
        <f t="shared" si="14"/>
        <v>#N/A</v>
      </c>
      <c r="AN140" t="e" cm="1">
        <f t="array" ref="AN140">_xlfn.IFS(VLOOKUP(AA140,$A$2:$B$1048576,2,FALSE)="WR",AA140,VLOOKUP(AB140,$A$2:$B$1048576,2,FALSE)="WR",AB140,VLOOKUP(AC140,$A$2:$B$1048576,2,FALSE)="WR",AC140,VLOOKUP(AD140,$A$2:$B$1048576,2,FALSE)="WR",AD140,VLOOKUP(AE140,$A$2:$B$1048576,2,FALSE)="WR",AE140,VLOOKUP(AF140,$A$2:$B$1048576,2,FALSE)="WR",AF140,VLOOKUP(AG140,$A$2:$B$1048576,2,FALSE)="WR",AG140,VLOOKUP(AH140,$A$2:$B$1048576,2,FALSE)="WR",AH140,VLOOKUP(AI140,$A$2:$B$1048576,2,FALSE)="WR",AI140)</f>
        <v>#N/A</v>
      </c>
      <c r="AO140" t="e">
        <f t="shared" si="15"/>
        <v>#N/A</v>
      </c>
      <c r="AP140" t="e">
        <f t="shared" si="16"/>
        <v>#N/A</v>
      </c>
      <c r="AQ140" t="e" cm="1">
        <f t="array" ref="AQ140">_xlfn.IFS(VLOOKUP(AA140,$A$2:$B$1048576,2,FALSE)="TE",AA140,VLOOKUP(AB140,$A$2:$B$1048576,2,FALSE)="TE",AB140,VLOOKUP(AC140,$A$2:$B$1048576,2,FALSE)="TE",AC140,VLOOKUP(AD140,$A$2:$B$1048576,2,FALSE)="TE",AD140,VLOOKUP(AE140,$A$2:$B$1048576,2,FALSE)="TE",AE140,VLOOKUP(AF140,$A$2:$B$1048576,2,FALSE)="TE",AF140,VLOOKUP(AG140,$A$2:$B$1048576,2,FALSE)="TE",AG140,VLOOKUP(AH140,$A$2:$B$1048576,2,FALSE)="TE",AH140,VLOOKUP(AI140,$A$2:$B$1048576,2,FALSE)="TE",AI140)</f>
        <v>#N/A</v>
      </c>
      <c r="AR140" t="e" cm="1">
        <f t="array" ref="AR140">_xlfn.IFS(IF(OR(AA140=AK140,AA140=AL140,AA140=AM140,AA140=AN140,AA140=AO140,AA140=AP140,AA140=AQ140,AA140=AS140),1,0)=0,AA140,IF(OR(AB140=AK140,AB140=AL140,AB140=AM140,AB140=AN140,AB140=AO140,AB140=AP140,AB140=AQ140,AB140=AS140),1,0)=0,AB140,IF(OR(AC140=AK140,AC140=AL140,AC140=AM140,AC140=AN140,AC140=AO140,AC140=AP140,AC140=AQ140,AC140=AS140),1,0)=0,AC140,IF(OR(AD140=AK140,AD140=AL140,AD140=AM140,AD140=AN140,AD140=AO140,AD140=AP140,AD140=AQ140,AD140=AS140),1,0)=0,AD140,IF(OR(AE140=AK140,AE140=AL140,AE140=AM140,AE140=AN140,AE140=AO140,AE140=AP140,AE140=AQ140,AE140=AS140),1,0)=0,AE140,IF(OR(AF140=AK140,AF140=AL140,AF140=AM140,AF140=AN140,AF140=AO140,AF140=AP140,AF140=AQ140,AF140=AS140),1,0)=0,AF140,IF(OR(AG140=AK140,AG140=AL140,AG140=AM140,AG140=AN140,AG140=AO140,AG140=AP140,AG140=AQ140,AG140=AS140),1,0)=0,AG140,IF(OR(AH140=AK140,AH140=AL140,AH140=AM140,AH140=AN140,AH140=AO140,AH140=AP140,AH140=AQ140,AH140=AS140),1,0)=0,AH140,IF(OR(AI140=AK140,AI140=AL140,AI140=AM140,AI140=AN140,AI140=AO140,AI140=AP140,AI140=AQ140,AI140=AS140),1,0)=0,AI140)</f>
        <v>#N/A</v>
      </c>
      <c r="AS140" t="e" cm="1">
        <f t="array" ref="AS140">_xlfn.IFS(VLOOKUP(AA140,$A$2:$B$1048576,2,FALSE)="DST",AA140,VLOOKUP(AB140,$A$2:$B$1048576,2,FALSE)="DST",AB140,VLOOKUP(AC140,$A$2:$B$1048576,2,FALSE)="DST",AC140,VLOOKUP(AD140,$A$2:$B$1048576,2,FALSE)="DST",AD140,VLOOKUP(AE140,$A$2:$B$1048576,2,FALSE)="DST",AE140,VLOOKUP(AF140,$A$2:$B$1048576,2,FALSE)="DST",AF140,VLOOKUP(AG140,$A$2:$B$1048576,2,FALSE)="DST",AG140,VLOOKUP(AH140,$A$2:$B$1048576,2,FALSE)="DST",AH140,VLOOKUP(AI140,$A$2:$B$1048576,2,FALSE)="DST",AI140)</f>
        <v>#N/A</v>
      </c>
    </row>
    <row r="141" spans="1:45" x14ac:dyDescent="0.35">
      <c r="A141" t="s">
        <v>164</v>
      </c>
      <c r="B141" s="11" t="s">
        <v>7</v>
      </c>
      <c r="C141" s="11">
        <v>6100</v>
      </c>
      <c r="D141" s="12">
        <v>20.036474999999999</v>
      </c>
      <c r="E141" s="12">
        <v>20.036489815641474</v>
      </c>
      <c r="F141" s="12">
        <v>48.296922088783724</v>
      </c>
      <c r="H141" s="11">
        <v>0</v>
      </c>
      <c r="I141">
        <f>IF(B141="QB",H141*1,0)</f>
        <v>0</v>
      </c>
      <c r="J141">
        <f>IF(B141="RB",H141*1,0)</f>
        <v>0</v>
      </c>
      <c r="K141">
        <f>IF(B141="WR",H141*1,0)</f>
        <v>0</v>
      </c>
      <c r="L141">
        <f>IF(B141="TE",H141*1,0)</f>
        <v>0</v>
      </c>
      <c r="M141">
        <f>IF(B141="DST",H141*1,0)</f>
        <v>0</v>
      </c>
      <c r="X141" s="11">
        <f t="shared" si="12"/>
        <v>1</v>
      </c>
      <c r="Y141" s="9">
        <v>140</v>
      </c>
      <c r="Z141" s="12">
        <f t="shared" si="13"/>
        <v>0</v>
      </c>
      <c r="AK141" t="e" cm="1">
        <f t="array" ref="AK141">_xlfn.IFS(VLOOKUP(AA141,$A$2:$B$1048576,2,FALSE)="QB",AA141,VLOOKUP(AB141,$A$2:$B$1048576,2,FALSE)="QB",AB141,VLOOKUP(AC141,$A$2:$B$1048576,2,FALSE)="QB",AC141,VLOOKUP(AD141,$A$2:$B$1048576,2,FALSE)="QB",AD141,VLOOKUP(AE141,$A$2:$B$1048576,2,FALSE)="QB",AE141,VLOOKUP(AF141,$A$2:$B$1048576,2,FALSE)="QB",AF141,VLOOKUP(AG141,$A$2:$B$1048576,2,FALSE)="QB",AG141,VLOOKUP(AH141,$A$2:$B$1048576,2,FALSE)="QB",AH141,VLOOKUP(AI141,$A$2:$B$1048576,2,FALSE)="QB",AI141)</f>
        <v>#N/A</v>
      </c>
      <c r="AL141" t="e" cm="1">
        <f t="array" ref="AL141">_xlfn.IFS(VLOOKUP(AA141,$A$2:$B$1048576,2,FALSE)="RB",AA141,VLOOKUP(AB141,$A$2:$B$1048576,2,FALSE)="RB",AB141,VLOOKUP(AC141,$A$2:$B$1048576,2,FALSE)="RB",AC141,VLOOKUP(AD141,$A$2:$B$1048576,2,FALSE)="RB",AD141,VLOOKUP(AE141,$A$2:$B$1048576,2,FALSE)="RB",AE141,VLOOKUP(AF141,$A$2:$B$1048576,2,FALSE)="RB",AF141,VLOOKUP(AG141,$A$2:$B$1048576,2,FALSE)="RB",AG141,VLOOKUP(AH141,$A$2:$B$1048576,2,FALSE)="RB",AH141,VLOOKUP(AI141,$A$2:$B$1048576,2,FALSE)="RB",AI141)</f>
        <v>#N/A</v>
      </c>
      <c r="AM141" t="e">
        <f t="shared" si="14"/>
        <v>#N/A</v>
      </c>
      <c r="AN141" t="e" cm="1">
        <f t="array" ref="AN141">_xlfn.IFS(VLOOKUP(AA141,$A$2:$B$1048576,2,FALSE)="WR",AA141,VLOOKUP(AB141,$A$2:$B$1048576,2,FALSE)="WR",AB141,VLOOKUP(AC141,$A$2:$B$1048576,2,FALSE)="WR",AC141,VLOOKUP(AD141,$A$2:$B$1048576,2,FALSE)="WR",AD141,VLOOKUP(AE141,$A$2:$B$1048576,2,FALSE)="WR",AE141,VLOOKUP(AF141,$A$2:$B$1048576,2,FALSE)="WR",AF141,VLOOKUP(AG141,$A$2:$B$1048576,2,FALSE)="WR",AG141,VLOOKUP(AH141,$A$2:$B$1048576,2,FALSE)="WR",AH141,VLOOKUP(AI141,$A$2:$B$1048576,2,FALSE)="WR",AI141)</f>
        <v>#N/A</v>
      </c>
      <c r="AO141" t="e">
        <f t="shared" si="15"/>
        <v>#N/A</v>
      </c>
      <c r="AP141" t="e">
        <f t="shared" si="16"/>
        <v>#N/A</v>
      </c>
      <c r="AQ141" t="e" cm="1">
        <f t="array" ref="AQ141">_xlfn.IFS(VLOOKUP(AA141,$A$2:$B$1048576,2,FALSE)="TE",AA141,VLOOKUP(AB141,$A$2:$B$1048576,2,FALSE)="TE",AB141,VLOOKUP(AC141,$A$2:$B$1048576,2,FALSE)="TE",AC141,VLOOKUP(AD141,$A$2:$B$1048576,2,FALSE)="TE",AD141,VLOOKUP(AE141,$A$2:$B$1048576,2,FALSE)="TE",AE141,VLOOKUP(AF141,$A$2:$B$1048576,2,FALSE)="TE",AF141,VLOOKUP(AG141,$A$2:$B$1048576,2,FALSE)="TE",AG141,VLOOKUP(AH141,$A$2:$B$1048576,2,FALSE)="TE",AH141,VLOOKUP(AI141,$A$2:$B$1048576,2,FALSE)="TE",AI141)</f>
        <v>#N/A</v>
      </c>
      <c r="AR141" t="e" cm="1">
        <f t="array" ref="AR141">_xlfn.IFS(IF(OR(AA141=AK141,AA141=AL141,AA141=AM141,AA141=AN141,AA141=AO141,AA141=AP141,AA141=AQ141,AA141=AS141),1,0)=0,AA141,IF(OR(AB141=AK141,AB141=AL141,AB141=AM141,AB141=AN141,AB141=AO141,AB141=AP141,AB141=AQ141,AB141=AS141),1,0)=0,AB141,IF(OR(AC141=AK141,AC141=AL141,AC141=AM141,AC141=AN141,AC141=AO141,AC141=AP141,AC141=AQ141,AC141=AS141),1,0)=0,AC141,IF(OR(AD141=AK141,AD141=AL141,AD141=AM141,AD141=AN141,AD141=AO141,AD141=AP141,AD141=AQ141,AD141=AS141),1,0)=0,AD141,IF(OR(AE141=AK141,AE141=AL141,AE141=AM141,AE141=AN141,AE141=AO141,AE141=AP141,AE141=AQ141,AE141=AS141),1,0)=0,AE141,IF(OR(AF141=AK141,AF141=AL141,AF141=AM141,AF141=AN141,AF141=AO141,AF141=AP141,AF141=AQ141,AF141=AS141),1,0)=0,AF141,IF(OR(AG141=AK141,AG141=AL141,AG141=AM141,AG141=AN141,AG141=AO141,AG141=AP141,AG141=AQ141,AG141=AS141),1,0)=0,AG141,IF(OR(AH141=AK141,AH141=AL141,AH141=AM141,AH141=AN141,AH141=AO141,AH141=AP141,AH141=AQ141,AH141=AS141),1,0)=0,AH141,IF(OR(AI141=AK141,AI141=AL141,AI141=AM141,AI141=AN141,AI141=AO141,AI141=AP141,AI141=AQ141,AI141=AS141),1,0)=0,AI141)</f>
        <v>#N/A</v>
      </c>
      <c r="AS141" t="e" cm="1">
        <f t="array" ref="AS141">_xlfn.IFS(VLOOKUP(AA141,$A$2:$B$1048576,2,FALSE)="DST",AA141,VLOOKUP(AB141,$A$2:$B$1048576,2,FALSE)="DST",AB141,VLOOKUP(AC141,$A$2:$B$1048576,2,FALSE)="DST",AC141,VLOOKUP(AD141,$A$2:$B$1048576,2,FALSE)="DST",AD141,VLOOKUP(AE141,$A$2:$B$1048576,2,FALSE)="DST",AE141,VLOOKUP(AF141,$A$2:$B$1048576,2,FALSE)="DST",AF141,VLOOKUP(AG141,$A$2:$B$1048576,2,FALSE)="DST",AG141,VLOOKUP(AH141,$A$2:$B$1048576,2,FALSE)="DST",AH141,VLOOKUP(AI141,$A$2:$B$1048576,2,FALSE)="DST",AI141)</f>
        <v>#N/A</v>
      </c>
    </row>
    <row r="142" spans="1:45" x14ac:dyDescent="0.35">
      <c r="A142" t="s">
        <v>165</v>
      </c>
      <c r="B142" s="11" t="s">
        <v>7</v>
      </c>
      <c r="C142" s="11">
        <v>5400</v>
      </c>
      <c r="D142" s="12">
        <v>15.092683333333335</v>
      </c>
      <c r="E142" s="12">
        <v>16.381296606682021</v>
      </c>
      <c r="F142" s="12">
        <v>33.259739749024142</v>
      </c>
      <c r="H142" s="11">
        <v>0</v>
      </c>
      <c r="I142">
        <f>IF(B142="QB",H142*1,0)</f>
        <v>0</v>
      </c>
      <c r="J142">
        <f>IF(B142="RB",H142*1,0)</f>
        <v>0</v>
      </c>
      <c r="K142">
        <f>IF(B142="WR",H142*1,0)</f>
        <v>0</v>
      </c>
      <c r="L142">
        <f>IF(B142="TE",H142*1,0)</f>
        <v>0</v>
      </c>
      <c r="M142">
        <f>IF(B142="DST",H142*1,0)</f>
        <v>0</v>
      </c>
      <c r="X142" s="11">
        <f t="shared" si="12"/>
        <v>1</v>
      </c>
      <c r="Y142" s="9">
        <v>141</v>
      </c>
      <c r="Z142" s="12">
        <f t="shared" si="13"/>
        <v>0</v>
      </c>
      <c r="AK142" t="e" cm="1">
        <f t="array" ref="AK142">_xlfn.IFS(VLOOKUP(AA142,$A$2:$B$1048576,2,FALSE)="QB",AA142,VLOOKUP(AB142,$A$2:$B$1048576,2,FALSE)="QB",AB142,VLOOKUP(AC142,$A$2:$B$1048576,2,FALSE)="QB",AC142,VLOOKUP(AD142,$A$2:$B$1048576,2,FALSE)="QB",AD142,VLOOKUP(AE142,$A$2:$B$1048576,2,FALSE)="QB",AE142,VLOOKUP(AF142,$A$2:$B$1048576,2,FALSE)="QB",AF142,VLOOKUP(AG142,$A$2:$B$1048576,2,FALSE)="QB",AG142,VLOOKUP(AH142,$A$2:$B$1048576,2,FALSE)="QB",AH142,VLOOKUP(AI142,$A$2:$B$1048576,2,FALSE)="QB",AI142)</f>
        <v>#N/A</v>
      </c>
      <c r="AL142" t="e" cm="1">
        <f t="array" ref="AL142">_xlfn.IFS(VLOOKUP(AA142,$A$2:$B$1048576,2,FALSE)="RB",AA142,VLOOKUP(AB142,$A$2:$B$1048576,2,FALSE)="RB",AB142,VLOOKUP(AC142,$A$2:$B$1048576,2,FALSE)="RB",AC142,VLOOKUP(AD142,$A$2:$B$1048576,2,FALSE)="RB",AD142,VLOOKUP(AE142,$A$2:$B$1048576,2,FALSE)="RB",AE142,VLOOKUP(AF142,$A$2:$B$1048576,2,FALSE)="RB",AF142,VLOOKUP(AG142,$A$2:$B$1048576,2,FALSE)="RB",AG142,VLOOKUP(AH142,$A$2:$B$1048576,2,FALSE)="RB",AH142,VLOOKUP(AI142,$A$2:$B$1048576,2,FALSE)="RB",AI142)</f>
        <v>#N/A</v>
      </c>
      <c r="AM142" t="e">
        <f t="shared" si="14"/>
        <v>#N/A</v>
      </c>
      <c r="AN142" t="e" cm="1">
        <f t="array" ref="AN142">_xlfn.IFS(VLOOKUP(AA142,$A$2:$B$1048576,2,FALSE)="WR",AA142,VLOOKUP(AB142,$A$2:$B$1048576,2,FALSE)="WR",AB142,VLOOKUP(AC142,$A$2:$B$1048576,2,FALSE)="WR",AC142,VLOOKUP(AD142,$A$2:$B$1048576,2,FALSE)="WR",AD142,VLOOKUP(AE142,$A$2:$B$1048576,2,FALSE)="WR",AE142,VLOOKUP(AF142,$A$2:$B$1048576,2,FALSE)="WR",AF142,VLOOKUP(AG142,$A$2:$B$1048576,2,FALSE)="WR",AG142,VLOOKUP(AH142,$A$2:$B$1048576,2,FALSE)="WR",AH142,VLOOKUP(AI142,$A$2:$B$1048576,2,FALSE)="WR",AI142)</f>
        <v>#N/A</v>
      </c>
      <c r="AO142" t="e">
        <f t="shared" si="15"/>
        <v>#N/A</v>
      </c>
      <c r="AP142" t="e">
        <f t="shared" si="16"/>
        <v>#N/A</v>
      </c>
      <c r="AQ142" t="e" cm="1">
        <f t="array" ref="AQ142">_xlfn.IFS(VLOOKUP(AA142,$A$2:$B$1048576,2,FALSE)="TE",AA142,VLOOKUP(AB142,$A$2:$B$1048576,2,FALSE)="TE",AB142,VLOOKUP(AC142,$A$2:$B$1048576,2,FALSE)="TE",AC142,VLOOKUP(AD142,$A$2:$B$1048576,2,FALSE)="TE",AD142,VLOOKUP(AE142,$A$2:$B$1048576,2,FALSE)="TE",AE142,VLOOKUP(AF142,$A$2:$B$1048576,2,FALSE)="TE",AF142,VLOOKUP(AG142,$A$2:$B$1048576,2,FALSE)="TE",AG142,VLOOKUP(AH142,$A$2:$B$1048576,2,FALSE)="TE",AH142,VLOOKUP(AI142,$A$2:$B$1048576,2,FALSE)="TE",AI142)</f>
        <v>#N/A</v>
      </c>
      <c r="AR142" t="e" cm="1">
        <f t="array" ref="AR142">_xlfn.IFS(IF(OR(AA142=AK142,AA142=AL142,AA142=AM142,AA142=AN142,AA142=AO142,AA142=AP142,AA142=AQ142,AA142=AS142),1,0)=0,AA142,IF(OR(AB142=AK142,AB142=AL142,AB142=AM142,AB142=AN142,AB142=AO142,AB142=AP142,AB142=AQ142,AB142=AS142),1,0)=0,AB142,IF(OR(AC142=AK142,AC142=AL142,AC142=AM142,AC142=AN142,AC142=AO142,AC142=AP142,AC142=AQ142,AC142=AS142),1,0)=0,AC142,IF(OR(AD142=AK142,AD142=AL142,AD142=AM142,AD142=AN142,AD142=AO142,AD142=AP142,AD142=AQ142,AD142=AS142),1,0)=0,AD142,IF(OR(AE142=AK142,AE142=AL142,AE142=AM142,AE142=AN142,AE142=AO142,AE142=AP142,AE142=AQ142,AE142=AS142),1,0)=0,AE142,IF(OR(AF142=AK142,AF142=AL142,AF142=AM142,AF142=AN142,AF142=AO142,AF142=AP142,AF142=AQ142,AF142=AS142),1,0)=0,AF142,IF(OR(AG142=AK142,AG142=AL142,AG142=AM142,AG142=AN142,AG142=AO142,AG142=AP142,AG142=AQ142,AG142=AS142),1,0)=0,AG142,IF(OR(AH142=AK142,AH142=AL142,AH142=AM142,AH142=AN142,AH142=AO142,AH142=AP142,AH142=AQ142,AH142=AS142),1,0)=0,AH142,IF(OR(AI142=AK142,AI142=AL142,AI142=AM142,AI142=AN142,AI142=AO142,AI142=AP142,AI142=AQ142,AI142=AS142),1,0)=0,AI142)</f>
        <v>#N/A</v>
      </c>
      <c r="AS142" t="e" cm="1">
        <f t="array" ref="AS142">_xlfn.IFS(VLOOKUP(AA142,$A$2:$B$1048576,2,FALSE)="DST",AA142,VLOOKUP(AB142,$A$2:$B$1048576,2,FALSE)="DST",AB142,VLOOKUP(AC142,$A$2:$B$1048576,2,FALSE)="DST",AC142,VLOOKUP(AD142,$A$2:$B$1048576,2,FALSE)="DST",AD142,VLOOKUP(AE142,$A$2:$B$1048576,2,FALSE)="DST",AE142,VLOOKUP(AF142,$A$2:$B$1048576,2,FALSE)="DST",AF142,VLOOKUP(AG142,$A$2:$B$1048576,2,FALSE)="DST",AG142,VLOOKUP(AH142,$A$2:$B$1048576,2,FALSE)="DST",AH142,VLOOKUP(AI142,$A$2:$B$1048576,2,FALSE)="DST",AI142)</f>
        <v>#N/A</v>
      </c>
    </row>
    <row r="143" spans="1:45" x14ac:dyDescent="0.35">
      <c r="A143" t="s">
        <v>166</v>
      </c>
      <c r="B143" s="11" t="s">
        <v>7</v>
      </c>
      <c r="C143" s="11">
        <v>5800</v>
      </c>
      <c r="D143" s="12">
        <v>15.891099999999998</v>
      </c>
      <c r="E143" s="12">
        <v>16.230751237786208</v>
      </c>
      <c r="F143" s="12">
        <v>35.636039450050276</v>
      </c>
      <c r="H143" s="11">
        <v>0</v>
      </c>
      <c r="I143">
        <f>IF(B143="QB",H143*1,0)</f>
        <v>0</v>
      </c>
      <c r="J143">
        <f>IF(B143="RB",H143*1,0)</f>
        <v>0</v>
      </c>
      <c r="K143">
        <f>IF(B143="WR",H143*1,0)</f>
        <v>0</v>
      </c>
      <c r="L143">
        <f>IF(B143="TE",H143*1,0)</f>
        <v>0</v>
      </c>
      <c r="M143">
        <f>IF(B143="DST",H143*1,0)</f>
        <v>0</v>
      </c>
      <c r="X143" s="11">
        <f t="shared" si="12"/>
        <v>1</v>
      </c>
      <c r="Y143" s="9">
        <v>142</v>
      </c>
      <c r="Z143" s="12">
        <f t="shared" si="13"/>
        <v>0</v>
      </c>
      <c r="AK143" t="e" cm="1">
        <f t="array" ref="AK143">_xlfn.IFS(VLOOKUP(AA143,$A$2:$B$1048576,2,FALSE)="QB",AA143,VLOOKUP(AB143,$A$2:$B$1048576,2,FALSE)="QB",AB143,VLOOKUP(AC143,$A$2:$B$1048576,2,FALSE)="QB",AC143,VLOOKUP(AD143,$A$2:$B$1048576,2,FALSE)="QB",AD143,VLOOKUP(AE143,$A$2:$B$1048576,2,FALSE)="QB",AE143,VLOOKUP(AF143,$A$2:$B$1048576,2,FALSE)="QB",AF143,VLOOKUP(AG143,$A$2:$B$1048576,2,FALSE)="QB",AG143,VLOOKUP(AH143,$A$2:$B$1048576,2,FALSE)="QB",AH143,VLOOKUP(AI143,$A$2:$B$1048576,2,FALSE)="QB",AI143)</f>
        <v>#N/A</v>
      </c>
      <c r="AL143" t="e" cm="1">
        <f t="array" ref="AL143">_xlfn.IFS(VLOOKUP(AA143,$A$2:$B$1048576,2,FALSE)="RB",AA143,VLOOKUP(AB143,$A$2:$B$1048576,2,FALSE)="RB",AB143,VLOOKUP(AC143,$A$2:$B$1048576,2,FALSE)="RB",AC143,VLOOKUP(AD143,$A$2:$B$1048576,2,FALSE)="RB",AD143,VLOOKUP(AE143,$A$2:$B$1048576,2,FALSE)="RB",AE143,VLOOKUP(AF143,$A$2:$B$1048576,2,FALSE)="RB",AF143,VLOOKUP(AG143,$A$2:$B$1048576,2,FALSE)="RB",AG143,VLOOKUP(AH143,$A$2:$B$1048576,2,FALSE)="RB",AH143,VLOOKUP(AI143,$A$2:$B$1048576,2,FALSE)="RB",AI143)</f>
        <v>#N/A</v>
      </c>
      <c r="AM143" t="e">
        <f t="shared" si="14"/>
        <v>#N/A</v>
      </c>
      <c r="AN143" t="e" cm="1">
        <f t="array" ref="AN143">_xlfn.IFS(VLOOKUP(AA143,$A$2:$B$1048576,2,FALSE)="WR",AA143,VLOOKUP(AB143,$A$2:$B$1048576,2,FALSE)="WR",AB143,VLOOKUP(AC143,$A$2:$B$1048576,2,FALSE)="WR",AC143,VLOOKUP(AD143,$A$2:$B$1048576,2,FALSE)="WR",AD143,VLOOKUP(AE143,$A$2:$B$1048576,2,FALSE)="WR",AE143,VLOOKUP(AF143,$A$2:$B$1048576,2,FALSE)="WR",AF143,VLOOKUP(AG143,$A$2:$B$1048576,2,FALSE)="WR",AG143,VLOOKUP(AH143,$A$2:$B$1048576,2,FALSE)="WR",AH143,VLOOKUP(AI143,$A$2:$B$1048576,2,FALSE)="WR",AI143)</f>
        <v>#N/A</v>
      </c>
      <c r="AO143" t="e">
        <f t="shared" si="15"/>
        <v>#N/A</v>
      </c>
      <c r="AP143" t="e">
        <f t="shared" si="16"/>
        <v>#N/A</v>
      </c>
      <c r="AQ143" t="e" cm="1">
        <f t="array" ref="AQ143">_xlfn.IFS(VLOOKUP(AA143,$A$2:$B$1048576,2,FALSE)="TE",AA143,VLOOKUP(AB143,$A$2:$B$1048576,2,FALSE)="TE",AB143,VLOOKUP(AC143,$A$2:$B$1048576,2,FALSE)="TE",AC143,VLOOKUP(AD143,$A$2:$B$1048576,2,FALSE)="TE",AD143,VLOOKUP(AE143,$A$2:$B$1048576,2,FALSE)="TE",AE143,VLOOKUP(AF143,$A$2:$B$1048576,2,FALSE)="TE",AF143,VLOOKUP(AG143,$A$2:$B$1048576,2,FALSE)="TE",AG143,VLOOKUP(AH143,$A$2:$B$1048576,2,FALSE)="TE",AH143,VLOOKUP(AI143,$A$2:$B$1048576,2,FALSE)="TE",AI143)</f>
        <v>#N/A</v>
      </c>
      <c r="AR143" t="e" cm="1">
        <f t="array" ref="AR143">_xlfn.IFS(IF(OR(AA143=AK143,AA143=AL143,AA143=AM143,AA143=AN143,AA143=AO143,AA143=AP143,AA143=AQ143,AA143=AS143),1,0)=0,AA143,IF(OR(AB143=AK143,AB143=AL143,AB143=AM143,AB143=AN143,AB143=AO143,AB143=AP143,AB143=AQ143,AB143=AS143),1,0)=0,AB143,IF(OR(AC143=AK143,AC143=AL143,AC143=AM143,AC143=AN143,AC143=AO143,AC143=AP143,AC143=AQ143,AC143=AS143),1,0)=0,AC143,IF(OR(AD143=AK143,AD143=AL143,AD143=AM143,AD143=AN143,AD143=AO143,AD143=AP143,AD143=AQ143,AD143=AS143),1,0)=0,AD143,IF(OR(AE143=AK143,AE143=AL143,AE143=AM143,AE143=AN143,AE143=AO143,AE143=AP143,AE143=AQ143,AE143=AS143),1,0)=0,AE143,IF(OR(AF143=AK143,AF143=AL143,AF143=AM143,AF143=AN143,AF143=AO143,AF143=AP143,AF143=AQ143,AF143=AS143),1,0)=0,AF143,IF(OR(AG143=AK143,AG143=AL143,AG143=AM143,AG143=AN143,AG143=AO143,AG143=AP143,AG143=AQ143,AG143=AS143),1,0)=0,AG143,IF(OR(AH143=AK143,AH143=AL143,AH143=AM143,AH143=AN143,AH143=AO143,AH143=AP143,AH143=AQ143,AH143=AS143),1,0)=0,AH143,IF(OR(AI143=AK143,AI143=AL143,AI143=AM143,AI143=AN143,AI143=AO143,AI143=AP143,AI143=AQ143,AI143=AS143),1,0)=0,AI143)</f>
        <v>#N/A</v>
      </c>
      <c r="AS143" t="e" cm="1">
        <f t="array" ref="AS143">_xlfn.IFS(VLOOKUP(AA143,$A$2:$B$1048576,2,FALSE)="DST",AA143,VLOOKUP(AB143,$A$2:$B$1048576,2,FALSE)="DST",AB143,VLOOKUP(AC143,$A$2:$B$1048576,2,FALSE)="DST",AC143,VLOOKUP(AD143,$A$2:$B$1048576,2,FALSE)="DST",AD143,VLOOKUP(AE143,$A$2:$B$1048576,2,FALSE)="DST",AE143,VLOOKUP(AF143,$A$2:$B$1048576,2,FALSE)="DST",AF143,VLOOKUP(AG143,$A$2:$B$1048576,2,FALSE)="DST",AG143,VLOOKUP(AH143,$A$2:$B$1048576,2,FALSE)="DST",AH143,VLOOKUP(AI143,$A$2:$B$1048576,2,FALSE)="DST",AI143)</f>
        <v>#N/A</v>
      </c>
    </row>
    <row r="144" spans="1:45" x14ac:dyDescent="0.35">
      <c r="A144" t="s">
        <v>167</v>
      </c>
      <c r="B144" s="11" t="s">
        <v>7</v>
      </c>
      <c r="C144" s="11">
        <v>5000</v>
      </c>
      <c r="D144" s="12">
        <v>10.838641666666668</v>
      </c>
      <c r="E144" s="12">
        <v>10.901803192409382</v>
      </c>
      <c r="F144" s="12">
        <v>20.398522039374019</v>
      </c>
      <c r="H144" s="11">
        <v>0</v>
      </c>
      <c r="I144">
        <f>IF(B144="QB",H144*1,0)</f>
        <v>0</v>
      </c>
      <c r="J144">
        <f>IF(B144="RB",H144*1,0)</f>
        <v>0</v>
      </c>
      <c r="K144">
        <f>IF(B144="WR",H144*1,0)</f>
        <v>0</v>
      </c>
      <c r="L144">
        <f>IF(B144="TE",H144*1,0)</f>
        <v>0</v>
      </c>
      <c r="M144">
        <f>IF(B144="DST",H144*1,0)</f>
        <v>0</v>
      </c>
      <c r="X144" s="11">
        <f t="shared" si="12"/>
        <v>1</v>
      </c>
      <c r="Y144" s="9">
        <v>143</v>
      </c>
      <c r="Z144" s="12">
        <f t="shared" si="13"/>
        <v>0</v>
      </c>
      <c r="AK144" t="e" cm="1">
        <f t="array" ref="AK144">_xlfn.IFS(VLOOKUP(AA144,$A$2:$B$1048576,2,FALSE)="QB",AA144,VLOOKUP(AB144,$A$2:$B$1048576,2,FALSE)="QB",AB144,VLOOKUP(AC144,$A$2:$B$1048576,2,FALSE)="QB",AC144,VLOOKUP(AD144,$A$2:$B$1048576,2,FALSE)="QB",AD144,VLOOKUP(AE144,$A$2:$B$1048576,2,FALSE)="QB",AE144,VLOOKUP(AF144,$A$2:$B$1048576,2,FALSE)="QB",AF144,VLOOKUP(AG144,$A$2:$B$1048576,2,FALSE)="QB",AG144,VLOOKUP(AH144,$A$2:$B$1048576,2,FALSE)="QB",AH144,VLOOKUP(AI144,$A$2:$B$1048576,2,FALSE)="QB",AI144)</f>
        <v>#N/A</v>
      </c>
      <c r="AL144" t="e" cm="1">
        <f t="array" ref="AL144">_xlfn.IFS(VLOOKUP(AA144,$A$2:$B$1048576,2,FALSE)="RB",AA144,VLOOKUP(AB144,$A$2:$B$1048576,2,FALSE)="RB",AB144,VLOOKUP(AC144,$A$2:$B$1048576,2,FALSE)="RB",AC144,VLOOKUP(AD144,$A$2:$B$1048576,2,FALSE)="RB",AD144,VLOOKUP(AE144,$A$2:$B$1048576,2,FALSE)="RB",AE144,VLOOKUP(AF144,$A$2:$B$1048576,2,FALSE)="RB",AF144,VLOOKUP(AG144,$A$2:$B$1048576,2,FALSE)="RB",AG144,VLOOKUP(AH144,$A$2:$B$1048576,2,FALSE)="RB",AH144,VLOOKUP(AI144,$A$2:$B$1048576,2,FALSE)="RB",AI144)</f>
        <v>#N/A</v>
      </c>
      <c r="AM144" t="e">
        <f t="shared" si="14"/>
        <v>#N/A</v>
      </c>
      <c r="AN144" t="e" cm="1">
        <f t="array" ref="AN144">_xlfn.IFS(VLOOKUP(AA144,$A$2:$B$1048576,2,FALSE)="WR",AA144,VLOOKUP(AB144,$A$2:$B$1048576,2,FALSE)="WR",AB144,VLOOKUP(AC144,$A$2:$B$1048576,2,FALSE)="WR",AC144,VLOOKUP(AD144,$A$2:$B$1048576,2,FALSE)="WR",AD144,VLOOKUP(AE144,$A$2:$B$1048576,2,FALSE)="WR",AE144,VLOOKUP(AF144,$A$2:$B$1048576,2,FALSE)="WR",AF144,VLOOKUP(AG144,$A$2:$B$1048576,2,FALSE)="WR",AG144,VLOOKUP(AH144,$A$2:$B$1048576,2,FALSE)="WR",AH144,VLOOKUP(AI144,$A$2:$B$1048576,2,FALSE)="WR",AI144)</f>
        <v>#N/A</v>
      </c>
      <c r="AO144" t="e">
        <f t="shared" si="15"/>
        <v>#N/A</v>
      </c>
      <c r="AP144" t="e">
        <f t="shared" si="16"/>
        <v>#N/A</v>
      </c>
      <c r="AQ144" t="e" cm="1">
        <f t="array" ref="AQ144">_xlfn.IFS(VLOOKUP(AA144,$A$2:$B$1048576,2,FALSE)="TE",AA144,VLOOKUP(AB144,$A$2:$B$1048576,2,FALSE)="TE",AB144,VLOOKUP(AC144,$A$2:$B$1048576,2,FALSE)="TE",AC144,VLOOKUP(AD144,$A$2:$B$1048576,2,FALSE)="TE",AD144,VLOOKUP(AE144,$A$2:$B$1048576,2,FALSE)="TE",AE144,VLOOKUP(AF144,$A$2:$B$1048576,2,FALSE)="TE",AF144,VLOOKUP(AG144,$A$2:$B$1048576,2,FALSE)="TE",AG144,VLOOKUP(AH144,$A$2:$B$1048576,2,FALSE)="TE",AH144,VLOOKUP(AI144,$A$2:$B$1048576,2,FALSE)="TE",AI144)</f>
        <v>#N/A</v>
      </c>
      <c r="AR144" t="e" cm="1">
        <f t="array" ref="AR144">_xlfn.IFS(IF(OR(AA144=AK144,AA144=AL144,AA144=AM144,AA144=AN144,AA144=AO144,AA144=AP144,AA144=AQ144,AA144=AS144),1,0)=0,AA144,IF(OR(AB144=AK144,AB144=AL144,AB144=AM144,AB144=AN144,AB144=AO144,AB144=AP144,AB144=AQ144,AB144=AS144),1,0)=0,AB144,IF(OR(AC144=AK144,AC144=AL144,AC144=AM144,AC144=AN144,AC144=AO144,AC144=AP144,AC144=AQ144,AC144=AS144),1,0)=0,AC144,IF(OR(AD144=AK144,AD144=AL144,AD144=AM144,AD144=AN144,AD144=AO144,AD144=AP144,AD144=AQ144,AD144=AS144),1,0)=0,AD144,IF(OR(AE144=AK144,AE144=AL144,AE144=AM144,AE144=AN144,AE144=AO144,AE144=AP144,AE144=AQ144,AE144=AS144),1,0)=0,AE144,IF(OR(AF144=AK144,AF144=AL144,AF144=AM144,AF144=AN144,AF144=AO144,AF144=AP144,AF144=AQ144,AF144=AS144),1,0)=0,AF144,IF(OR(AG144=AK144,AG144=AL144,AG144=AM144,AG144=AN144,AG144=AO144,AG144=AP144,AG144=AQ144,AG144=AS144),1,0)=0,AG144,IF(OR(AH144=AK144,AH144=AL144,AH144=AM144,AH144=AN144,AH144=AO144,AH144=AP144,AH144=AQ144,AH144=AS144),1,0)=0,AH144,IF(OR(AI144=AK144,AI144=AL144,AI144=AM144,AI144=AN144,AI144=AO144,AI144=AP144,AI144=AQ144,AI144=AS144),1,0)=0,AI144)</f>
        <v>#N/A</v>
      </c>
      <c r="AS144" t="e" cm="1">
        <f t="array" ref="AS144">_xlfn.IFS(VLOOKUP(AA144,$A$2:$B$1048576,2,FALSE)="DST",AA144,VLOOKUP(AB144,$A$2:$B$1048576,2,FALSE)="DST",AB144,VLOOKUP(AC144,$A$2:$B$1048576,2,FALSE)="DST",AC144,VLOOKUP(AD144,$A$2:$B$1048576,2,FALSE)="DST",AD144,VLOOKUP(AE144,$A$2:$B$1048576,2,FALSE)="DST",AE144,VLOOKUP(AF144,$A$2:$B$1048576,2,FALSE)="DST",AF144,VLOOKUP(AG144,$A$2:$B$1048576,2,FALSE)="DST",AG144,VLOOKUP(AH144,$A$2:$B$1048576,2,FALSE)="DST",AH144,VLOOKUP(AI144,$A$2:$B$1048576,2,FALSE)="DST",AI144)</f>
        <v>#N/A</v>
      </c>
    </row>
    <row r="145" spans="1:45" x14ac:dyDescent="0.35">
      <c r="A145" t="s">
        <v>168</v>
      </c>
      <c r="B145" s="11" t="s">
        <v>7</v>
      </c>
      <c r="C145" s="11">
        <v>5800</v>
      </c>
      <c r="D145" s="12">
        <v>-0.60624999999999996</v>
      </c>
      <c r="E145" s="12">
        <v>-0.60625000379875904</v>
      </c>
      <c r="F145" s="12">
        <v>-13.33447088833513</v>
      </c>
      <c r="H145" s="11">
        <v>0</v>
      </c>
      <c r="I145">
        <f>IF(B145="QB",H145*1,0)</f>
        <v>0</v>
      </c>
      <c r="J145">
        <f>IF(B145="RB",H145*1,0)</f>
        <v>0</v>
      </c>
      <c r="K145">
        <f>IF(B145="WR",H145*1,0)</f>
        <v>0</v>
      </c>
      <c r="L145">
        <f>IF(B145="TE",H145*1,0)</f>
        <v>0</v>
      </c>
      <c r="M145">
        <f>IF(B145="DST",H145*1,0)</f>
        <v>0</v>
      </c>
      <c r="X145" s="11">
        <f t="shared" si="12"/>
        <v>1</v>
      </c>
      <c r="Y145" s="9">
        <v>144</v>
      </c>
      <c r="Z145" s="12">
        <f t="shared" si="13"/>
        <v>0</v>
      </c>
      <c r="AK145" t="e" cm="1">
        <f t="array" ref="AK145">_xlfn.IFS(VLOOKUP(AA145,$A$2:$B$1048576,2,FALSE)="QB",AA145,VLOOKUP(AB145,$A$2:$B$1048576,2,FALSE)="QB",AB145,VLOOKUP(AC145,$A$2:$B$1048576,2,FALSE)="QB",AC145,VLOOKUP(AD145,$A$2:$B$1048576,2,FALSE)="QB",AD145,VLOOKUP(AE145,$A$2:$B$1048576,2,FALSE)="QB",AE145,VLOOKUP(AF145,$A$2:$B$1048576,2,FALSE)="QB",AF145,VLOOKUP(AG145,$A$2:$B$1048576,2,FALSE)="QB",AG145,VLOOKUP(AH145,$A$2:$B$1048576,2,FALSE)="QB",AH145,VLOOKUP(AI145,$A$2:$B$1048576,2,FALSE)="QB",AI145)</f>
        <v>#N/A</v>
      </c>
      <c r="AL145" t="e" cm="1">
        <f t="array" ref="AL145">_xlfn.IFS(VLOOKUP(AA145,$A$2:$B$1048576,2,FALSE)="RB",AA145,VLOOKUP(AB145,$A$2:$B$1048576,2,FALSE)="RB",AB145,VLOOKUP(AC145,$A$2:$B$1048576,2,FALSE)="RB",AC145,VLOOKUP(AD145,$A$2:$B$1048576,2,FALSE)="RB",AD145,VLOOKUP(AE145,$A$2:$B$1048576,2,FALSE)="RB",AE145,VLOOKUP(AF145,$A$2:$B$1048576,2,FALSE)="RB",AF145,VLOOKUP(AG145,$A$2:$B$1048576,2,FALSE)="RB",AG145,VLOOKUP(AH145,$A$2:$B$1048576,2,FALSE)="RB",AH145,VLOOKUP(AI145,$A$2:$B$1048576,2,FALSE)="RB",AI145)</f>
        <v>#N/A</v>
      </c>
      <c r="AM145" t="e">
        <f t="shared" si="14"/>
        <v>#N/A</v>
      </c>
      <c r="AN145" t="e" cm="1">
        <f t="array" ref="AN145">_xlfn.IFS(VLOOKUP(AA145,$A$2:$B$1048576,2,FALSE)="WR",AA145,VLOOKUP(AB145,$A$2:$B$1048576,2,FALSE)="WR",AB145,VLOOKUP(AC145,$A$2:$B$1048576,2,FALSE)="WR",AC145,VLOOKUP(AD145,$A$2:$B$1048576,2,FALSE)="WR",AD145,VLOOKUP(AE145,$A$2:$B$1048576,2,FALSE)="WR",AE145,VLOOKUP(AF145,$A$2:$B$1048576,2,FALSE)="WR",AF145,VLOOKUP(AG145,$A$2:$B$1048576,2,FALSE)="WR",AG145,VLOOKUP(AH145,$A$2:$B$1048576,2,FALSE)="WR",AH145,VLOOKUP(AI145,$A$2:$B$1048576,2,FALSE)="WR",AI145)</f>
        <v>#N/A</v>
      </c>
      <c r="AO145" t="e">
        <f t="shared" si="15"/>
        <v>#N/A</v>
      </c>
      <c r="AP145" t="e">
        <f t="shared" si="16"/>
        <v>#N/A</v>
      </c>
      <c r="AQ145" t="e" cm="1">
        <f t="array" ref="AQ145">_xlfn.IFS(VLOOKUP(AA145,$A$2:$B$1048576,2,FALSE)="TE",AA145,VLOOKUP(AB145,$A$2:$B$1048576,2,FALSE)="TE",AB145,VLOOKUP(AC145,$A$2:$B$1048576,2,FALSE)="TE",AC145,VLOOKUP(AD145,$A$2:$B$1048576,2,FALSE)="TE",AD145,VLOOKUP(AE145,$A$2:$B$1048576,2,FALSE)="TE",AE145,VLOOKUP(AF145,$A$2:$B$1048576,2,FALSE)="TE",AF145,VLOOKUP(AG145,$A$2:$B$1048576,2,FALSE)="TE",AG145,VLOOKUP(AH145,$A$2:$B$1048576,2,FALSE)="TE",AH145,VLOOKUP(AI145,$A$2:$B$1048576,2,FALSE)="TE",AI145)</f>
        <v>#N/A</v>
      </c>
      <c r="AR145" t="e" cm="1">
        <f t="array" ref="AR145">_xlfn.IFS(IF(OR(AA145=AK145,AA145=AL145,AA145=AM145,AA145=AN145,AA145=AO145,AA145=AP145,AA145=AQ145,AA145=AS145),1,0)=0,AA145,IF(OR(AB145=AK145,AB145=AL145,AB145=AM145,AB145=AN145,AB145=AO145,AB145=AP145,AB145=AQ145,AB145=AS145),1,0)=0,AB145,IF(OR(AC145=AK145,AC145=AL145,AC145=AM145,AC145=AN145,AC145=AO145,AC145=AP145,AC145=AQ145,AC145=AS145),1,0)=0,AC145,IF(OR(AD145=AK145,AD145=AL145,AD145=AM145,AD145=AN145,AD145=AO145,AD145=AP145,AD145=AQ145,AD145=AS145),1,0)=0,AD145,IF(OR(AE145=AK145,AE145=AL145,AE145=AM145,AE145=AN145,AE145=AO145,AE145=AP145,AE145=AQ145,AE145=AS145),1,0)=0,AE145,IF(OR(AF145=AK145,AF145=AL145,AF145=AM145,AF145=AN145,AF145=AO145,AF145=AP145,AF145=AQ145,AF145=AS145),1,0)=0,AF145,IF(OR(AG145=AK145,AG145=AL145,AG145=AM145,AG145=AN145,AG145=AO145,AG145=AP145,AG145=AQ145,AG145=AS145),1,0)=0,AG145,IF(OR(AH145=AK145,AH145=AL145,AH145=AM145,AH145=AN145,AH145=AO145,AH145=AP145,AH145=AQ145,AH145=AS145),1,0)=0,AH145,IF(OR(AI145=AK145,AI145=AL145,AI145=AM145,AI145=AN145,AI145=AO145,AI145=AP145,AI145=AQ145,AI145=AS145),1,0)=0,AI145)</f>
        <v>#N/A</v>
      </c>
      <c r="AS145" t="e" cm="1">
        <f t="array" ref="AS145">_xlfn.IFS(VLOOKUP(AA145,$A$2:$B$1048576,2,FALSE)="DST",AA145,VLOOKUP(AB145,$A$2:$B$1048576,2,FALSE)="DST",AB145,VLOOKUP(AC145,$A$2:$B$1048576,2,FALSE)="DST",AC145,VLOOKUP(AD145,$A$2:$B$1048576,2,FALSE)="DST",AD145,VLOOKUP(AE145,$A$2:$B$1048576,2,FALSE)="DST",AE145,VLOOKUP(AF145,$A$2:$B$1048576,2,FALSE)="DST",AF145,VLOOKUP(AG145,$A$2:$B$1048576,2,FALSE)="DST",AG145,VLOOKUP(AH145,$A$2:$B$1048576,2,FALSE)="DST",AH145,VLOOKUP(AI145,$A$2:$B$1048576,2,FALSE)="DST",AI145)</f>
        <v>#N/A</v>
      </c>
    </row>
    <row r="146" spans="1:45" x14ac:dyDescent="0.35">
      <c r="A146" t="s">
        <v>169</v>
      </c>
      <c r="B146" s="11" t="s">
        <v>11</v>
      </c>
      <c r="C146" s="11">
        <v>3700</v>
      </c>
      <c r="D146" s="12">
        <v>9.392573333333333</v>
      </c>
      <c r="E146" s="12">
        <v>9.3943608663747398</v>
      </c>
      <c r="F146" s="12">
        <v>23.136900792140739</v>
      </c>
      <c r="H146" s="11">
        <v>0</v>
      </c>
      <c r="I146">
        <f>IF(B146="QB",H146*1,0)</f>
        <v>0</v>
      </c>
      <c r="J146">
        <f>IF(B146="RB",H146*1,0)</f>
        <v>0</v>
      </c>
      <c r="K146">
        <f>IF(B146="WR",H146*1,0)</f>
        <v>0</v>
      </c>
      <c r="L146">
        <f>IF(B146="TE",H146*1,0)</f>
        <v>0</v>
      </c>
      <c r="M146">
        <f>IF(B146="DST",H146*1,0)</f>
        <v>0</v>
      </c>
      <c r="X146" s="11">
        <f t="shared" si="12"/>
        <v>1</v>
      </c>
      <c r="Y146" s="9">
        <v>145</v>
      </c>
      <c r="Z146" s="12">
        <f t="shared" si="13"/>
        <v>0</v>
      </c>
      <c r="AK146" t="e" cm="1">
        <f t="array" ref="AK146">_xlfn.IFS(VLOOKUP(AA146,$A$2:$B$1048576,2,FALSE)="QB",AA146,VLOOKUP(AB146,$A$2:$B$1048576,2,FALSE)="QB",AB146,VLOOKUP(AC146,$A$2:$B$1048576,2,FALSE)="QB",AC146,VLOOKUP(AD146,$A$2:$B$1048576,2,FALSE)="QB",AD146,VLOOKUP(AE146,$A$2:$B$1048576,2,FALSE)="QB",AE146,VLOOKUP(AF146,$A$2:$B$1048576,2,FALSE)="QB",AF146,VLOOKUP(AG146,$A$2:$B$1048576,2,FALSE)="QB",AG146,VLOOKUP(AH146,$A$2:$B$1048576,2,FALSE)="QB",AH146,VLOOKUP(AI146,$A$2:$B$1048576,2,FALSE)="QB",AI146)</f>
        <v>#N/A</v>
      </c>
      <c r="AL146" t="e" cm="1">
        <f t="array" ref="AL146">_xlfn.IFS(VLOOKUP(AA146,$A$2:$B$1048576,2,FALSE)="RB",AA146,VLOOKUP(AB146,$A$2:$B$1048576,2,FALSE)="RB",AB146,VLOOKUP(AC146,$A$2:$B$1048576,2,FALSE)="RB",AC146,VLOOKUP(AD146,$A$2:$B$1048576,2,FALSE)="RB",AD146,VLOOKUP(AE146,$A$2:$B$1048576,2,FALSE)="RB",AE146,VLOOKUP(AF146,$A$2:$B$1048576,2,FALSE)="RB",AF146,VLOOKUP(AG146,$A$2:$B$1048576,2,FALSE)="RB",AG146,VLOOKUP(AH146,$A$2:$B$1048576,2,FALSE)="RB",AH146,VLOOKUP(AI146,$A$2:$B$1048576,2,FALSE)="RB",AI146)</f>
        <v>#N/A</v>
      </c>
      <c r="AM146" t="e">
        <f t="shared" si="14"/>
        <v>#N/A</v>
      </c>
      <c r="AN146" t="e" cm="1">
        <f t="array" ref="AN146">_xlfn.IFS(VLOOKUP(AA146,$A$2:$B$1048576,2,FALSE)="WR",AA146,VLOOKUP(AB146,$A$2:$B$1048576,2,FALSE)="WR",AB146,VLOOKUP(AC146,$A$2:$B$1048576,2,FALSE)="WR",AC146,VLOOKUP(AD146,$A$2:$B$1048576,2,FALSE)="WR",AD146,VLOOKUP(AE146,$A$2:$B$1048576,2,FALSE)="WR",AE146,VLOOKUP(AF146,$A$2:$B$1048576,2,FALSE)="WR",AF146,VLOOKUP(AG146,$A$2:$B$1048576,2,FALSE)="WR",AG146,VLOOKUP(AH146,$A$2:$B$1048576,2,FALSE)="WR",AH146,VLOOKUP(AI146,$A$2:$B$1048576,2,FALSE)="WR",AI146)</f>
        <v>#N/A</v>
      </c>
      <c r="AO146" t="e">
        <f t="shared" si="15"/>
        <v>#N/A</v>
      </c>
      <c r="AP146" t="e">
        <f t="shared" si="16"/>
        <v>#N/A</v>
      </c>
      <c r="AQ146" t="e" cm="1">
        <f t="array" ref="AQ146">_xlfn.IFS(VLOOKUP(AA146,$A$2:$B$1048576,2,FALSE)="TE",AA146,VLOOKUP(AB146,$A$2:$B$1048576,2,FALSE)="TE",AB146,VLOOKUP(AC146,$A$2:$B$1048576,2,FALSE)="TE",AC146,VLOOKUP(AD146,$A$2:$B$1048576,2,FALSE)="TE",AD146,VLOOKUP(AE146,$A$2:$B$1048576,2,FALSE)="TE",AE146,VLOOKUP(AF146,$A$2:$B$1048576,2,FALSE)="TE",AF146,VLOOKUP(AG146,$A$2:$B$1048576,2,FALSE)="TE",AG146,VLOOKUP(AH146,$A$2:$B$1048576,2,FALSE)="TE",AH146,VLOOKUP(AI146,$A$2:$B$1048576,2,FALSE)="TE",AI146)</f>
        <v>#N/A</v>
      </c>
      <c r="AR146" t="e" cm="1">
        <f t="array" ref="AR146">_xlfn.IFS(IF(OR(AA146=AK146,AA146=AL146,AA146=AM146,AA146=AN146,AA146=AO146,AA146=AP146,AA146=AQ146,AA146=AS146),1,0)=0,AA146,IF(OR(AB146=AK146,AB146=AL146,AB146=AM146,AB146=AN146,AB146=AO146,AB146=AP146,AB146=AQ146,AB146=AS146),1,0)=0,AB146,IF(OR(AC146=AK146,AC146=AL146,AC146=AM146,AC146=AN146,AC146=AO146,AC146=AP146,AC146=AQ146,AC146=AS146),1,0)=0,AC146,IF(OR(AD146=AK146,AD146=AL146,AD146=AM146,AD146=AN146,AD146=AO146,AD146=AP146,AD146=AQ146,AD146=AS146),1,0)=0,AD146,IF(OR(AE146=AK146,AE146=AL146,AE146=AM146,AE146=AN146,AE146=AO146,AE146=AP146,AE146=AQ146,AE146=AS146),1,0)=0,AE146,IF(OR(AF146=AK146,AF146=AL146,AF146=AM146,AF146=AN146,AF146=AO146,AF146=AP146,AF146=AQ146,AF146=AS146),1,0)=0,AF146,IF(OR(AG146=AK146,AG146=AL146,AG146=AM146,AG146=AN146,AG146=AO146,AG146=AP146,AG146=AQ146,AG146=AS146),1,0)=0,AG146,IF(OR(AH146=AK146,AH146=AL146,AH146=AM146,AH146=AN146,AH146=AO146,AH146=AP146,AH146=AQ146,AH146=AS146),1,0)=0,AH146,IF(OR(AI146=AK146,AI146=AL146,AI146=AM146,AI146=AN146,AI146=AO146,AI146=AP146,AI146=AQ146,AI146=AS146),1,0)=0,AI146)</f>
        <v>#N/A</v>
      </c>
      <c r="AS146" t="e" cm="1">
        <f t="array" ref="AS146">_xlfn.IFS(VLOOKUP(AA146,$A$2:$B$1048576,2,FALSE)="DST",AA146,VLOOKUP(AB146,$A$2:$B$1048576,2,FALSE)="DST",AB146,VLOOKUP(AC146,$A$2:$B$1048576,2,FALSE)="DST",AC146,VLOOKUP(AD146,$A$2:$B$1048576,2,FALSE)="DST",AD146,VLOOKUP(AE146,$A$2:$B$1048576,2,FALSE)="DST",AE146,VLOOKUP(AF146,$A$2:$B$1048576,2,FALSE)="DST",AF146,VLOOKUP(AG146,$A$2:$B$1048576,2,FALSE)="DST",AG146,VLOOKUP(AH146,$A$2:$B$1048576,2,FALSE)="DST",AH146,VLOOKUP(AI146,$A$2:$B$1048576,2,FALSE)="DST",AI146)</f>
        <v>#N/A</v>
      </c>
    </row>
    <row r="147" spans="1:45" x14ac:dyDescent="0.35">
      <c r="A147" t="s">
        <v>170</v>
      </c>
      <c r="B147" s="11" t="s">
        <v>11</v>
      </c>
      <c r="C147" s="11">
        <v>3600</v>
      </c>
      <c r="D147" s="12">
        <v>9.439073333333333</v>
      </c>
      <c r="E147" s="12">
        <v>9.439073333333333</v>
      </c>
      <c r="F147" s="12">
        <v>23.286770799858388</v>
      </c>
      <c r="H147" s="11">
        <v>0</v>
      </c>
      <c r="I147">
        <f>IF(B147="QB",H147*1,0)</f>
        <v>0</v>
      </c>
      <c r="J147">
        <f>IF(B147="RB",H147*1,0)</f>
        <v>0</v>
      </c>
      <c r="K147">
        <f>IF(B147="WR",H147*1,0)</f>
        <v>0</v>
      </c>
      <c r="L147">
        <f>IF(B147="TE",H147*1,0)</f>
        <v>0</v>
      </c>
      <c r="M147">
        <f>IF(B147="DST",H147*1,0)</f>
        <v>0</v>
      </c>
      <c r="X147" s="11">
        <f t="shared" si="12"/>
        <v>1</v>
      </c>
      <c r="Y147" s="9">
        <v>146</v>
      </c>
      <c r="Z147" s="12">
        <f t="shared" si="13"/>
        <v>0</v>
      </c>
      <c r="AK147" t="e" cm="1">
        <f t="array" ref="AK147">_xlfn.IFS(VLOOKUP(AA147,$A$2:$B$1048576,2,FALSE)="QB",AA147,VLOOKUP(AB147,$A$2:$B$1048576,2,FALSE)="QB",AB147,VLOOKUP(AC147,$A$2:$B$1048576,2,FALSE)="QB",AC147,VLOOKUP(AD147,$A$2:$B$1048576,2,FALSE)="QB",AD147,VLOOKUP(AE147,$A$2:$B$1048576,2,FALSE)="QB",AE147,VLOOKUP(AF147,$A$2:$B$1048576,2,FALSE)="QB",AF147,VLOOKUP(AG147,$A$2:$B$1048576,2,FALSE)="QB",AG147,VLOOKUP(AH147,$A$2:$B$1048576,2,FALSE)="QB",AH147,VLOOKUP(AI147,$A$2:$B$1048576,2,FALSE)="QB",AI147)</f>
        <v>#N/A</v>
      </c>
      <c r="AL147" t="e" cm="1">
        <f t="array" ref="AL147">_xlfn.IFS(VLOOKUP(AA147,$A$2:$B$1048576,2,FALSE)="RB",AA147,VLOOKUP(AB147,$A$2:$B$1048576,2,FALSE)="RB",AB147,VLOOKUP(AC147,$A$2:$B$1048576,2,FALSE)="RB",AC147,VLOOKUP(AD147,$A$2:$B$1048576,2,FALSE)="RB",AD147,VLOOKUP(AE147,$A$2:$B$1048576,2,FALSE)="RB",AE147,VLOOKUP(AF147,$A$2:$B$1048576,2,FALSE)="RB",AF147,VLOOKUP(AG147,$A$2:$B$1048576,2,FALSE)="RB",AG147,VLOOKUP(AH147,$A$2:$B$1048576,2,FALSE)="RB",AH147,VLOOKUP(AI147,$A$2:$B$1048576,2,FALSE)="RB",AI147)</f>
        <v>#N/A</v>
      </c>
      <c r="AM147" t="e">
        <f t="shared" si="14"/>
        <v>#N/A</v>
      </c>
      <c r="AN147" t="e" cm="1">
        <f t="array" ref="AN147">_xlfn.IFS(VLOOKUP(AA147,$A$2:$B$1048576,2,FALSE)="WR",AA147,VLOOKUP(AB147,$A$2:$B$1048576,2,FALSE)="WR",AB147,VLOOKUP(AC147,$A$2:$B$1048576,2,FALSE)="WR",AC147,VLOOKUP(AD147,$A$2:$B$1048576,2,FALSE)="WR",AD147,VLOOKUP(AE147,$A$2:$B$1048576,2,FALSE)="WR",AE147,VLOOKUP(AF147,$A$2:$B$1048576,2,FALSE)="WR",AF147,VLOOKUP(AG147,$A$2:$B$1048576,2,FALSE)="WR",AG147,VLOOKUP(AH147,$A$2:$B$1048576,2,FALSE)="WR",AH147,VLOOKUP(AI147,$A$2:$B$1048576,2,FALSE)="WR",AI147)</f>
        <v>#N/A</v>
      </c>
      <c r="AO147" t="e">
        <f t="shared" si="15"/>
        <v>#N/A</v>
      </c>
      <c r="AP147" t="e">
        <f t="shared" si="16"/>
        <v>#N/A</v>
      </c>
      <c r="AQ147" t="e" cm="1">
        <f t="array" ref="AQ147">_xlfn.IFS(VLOOKUP(AA147,$A$2:$B$1048576,2,FALSE)="TE",AA147,VLOOKUP(AB147,$A$2:$B$1048576,2,FALSE)="TE",AB147,VLOOKUP(AC147,$A$2:$B$1048576,2,FALSE)="TE",AC147,VLOOKUP(AD147,$A$2:$B$1048576,2,FALSE)="TE",AD147,VLOOKUP(AE147,$A$2:$B$1048576,2,FALSE)="TE",AE147,VLOOKUP(AF147,$A$2:$B$1048576,2,FALSE)="TE",AF147,VLOOKUP(AG147,$A$2:$B$1048576,2,FALSE)="TE",AG147,VLOOKUP(AH147,$A$2:$B$1048576,2,FALSE)="TE",AH147,VLOOKUP(AI147,$A$2:$B$1048576,2,FALSE)="TE",AI147)</f>
        <v>#N/A</v>
      </c>
      <c r="AR147" t="e" cm="1">
        <f t="array" ref="AR147">_xlfn.IFS(IF(OR(AA147=AK147,AA147=AL147,AA147=AM147,AA147=AN147,AA147=AO147,AA147=AP147,AA147=AQ147,AA147=AS147),1,0)=0,AA147,IF(OR(AB147=AK147,AB147=AL147,AB147=AM147,AB147=AN147,AB147=AO147,AB147=AP147,AB147=AQ147,AB147=AS147),1,0)=0,AB147,IF(OR(AC147=AK147,AC147=AL147,AC147=AM147,AC147=AN147,AC147=AO147,AC147=AP147,AC147=AQ147,AC147=AS147),1,0)=0,AC147,IF(OR(AD147=AK147,AD147=AL147,AD147=AM147,AD147=AN147,AD147=AO147,AD147=AP147,AD147=AQ147,AD147=AS147),1,0)=0,AD147,IF(OR(AE147=AK147,AE147=AL147,AE147=AM147,AE147=AN147,AE147=AO147,AE147=AP147,AE147=AQ147,AE147=AS147),1,0)=0,AE147,IF(OR(AF147=AK147,AF147=AL147,AF147=AM147,AF147=AN147,AF147=AO147,AF147=AP147,AF147=AQ147,AF147=AS147),1,0)=0,AF147,IF(OR(AG147=AK147,AG147=AL147,AG147=AM147,AG147=AN147,AG147=AO147,AG147=AP147,AG147=AQ147,AG147=AS147),1,0)=0,AG147,IF(OR(AH147=AK147,AH147=AL147,AH147=AM147,AH147=AN147,AH147=AO147,AH147=AP147,AH147=AQ147,AH147=AS147),1,0)=0,AH147,IF(OR(AI147=AK147,AI147=AL147,AI147=AM147,AI147=AN147,AI147=AO147,AI147=AP147,AI147=AQ147,AI147=AS147),1,0)=0,AI147)</f>
        <v>#N/A</v>
      </c>
      <c r="AS147" t="e" cm="1">
        <f t="array" ref="AS147">_xlfn.IFS(VLOOKUP(AA147,$A$2:$B$1048576,2,FALSE)="DST",AA147,VLOOKUP(AB147,$A$2:$B$1048576,2,FALSE)="DST",AB147,VLOOKUP(AC147,$A$2:$B$1048576,2,FALSE)="DST",AC147,VLOOKUP(AD147,$A$2:$B$1048576,2,FALSE)="DST",AD147,VLOOKUP(AE147,$A$2:$B$1048576,2,FALSE)="DST",AE147,VLOOKUP(AF147,$A$2:$B$1048576,2,FALSE)="DST",AF147,VLOOKUP(AG147,$A$2:$B$1048576,2,FALSE)="DST",AG147,VLOOKUP(AH147,$A$2:$B$1048576,2,FALSE)="DST",AH147,VLOOKUP(AI147,$A$2:$B$1048576,2,FALSE)="DST",AI147)</f>
        <v>#N/A</v>
      </c>
    </row>
    <row r="148" spans="1:45" x14ac:dyDescent="0.35">
      <c r="A148" t="s">
        <v>171</v>
      </c>
      <c r="B148" s="11" t="s">
        <v>11</v>
      </c>
      <c r="C148" s="11">
        <v>3500</v>
      </c>
      <c r="D148" s="12">
        <v>9.985573333333333</v>
      </c>
      <c r="E148" s="12">
        <v>0</v>
      </c>
      <c r="F148" s="12">
        <v>24.956120623294815</v>
      </c>
      <c r="H148" s="11">
        <v>0</v>
      </c>
      <c r="I148">
        <f>IF(B148="QB",H148*1,0)</f>
        <v>0</v>
      </c>
      <c r="J148">
        <f>IF(B148="RB",H148*1,0)</f>
        <v>0</v>
      </c>
      <c r="K148">
        <f>IF(B148="WR",H148*1,0)</f>
        <v>0</v>
      </c>
      <c r="L148">
        <f>IF(B148="TE",H148*1,0)</f>
        <v>0</v>
      </c>
      <c r="M148">
        <f>IF(B148="DST",H148*1,0)</f>
        <v>0</v>
      </c>
      <c r="X148" s="11">
        <f t="shared" si="12"/>
        <v>1</v>
      </c>
      <c r="Y148" s="9">
        <v>147</v>
      </c>
      <c r="Z148" s="12">
        <f t="shared" si="13"/>
        <v>0</v>
      </c>
      <c r="AK148" t="e" cm="1">
        <f t="array" ref="AK148">_xlfn.IFS(VLOOKUP(AA148,$A$2:$B$1048576,2,FALSE)="QB",AA148,VLOOKUP(AB148,$A$2:$B$1048576,2,FALSE)="QB",AB148,VLOOKUP(AC148,$A$2:$B$1048576,2,FALSE)="QB",AC148,VLOOKUP(AD148,$A$2:$B$1048576,2,FALSE)="QB",AD148,VLOOKUP(AE148,$A$2:$B$1048576,2,FALSE)="QB",AE148,VLOOKUP(AF148,$A$2:$B$1048576,2,FALSE)="QB",AF148,VLOOKUP(AG148,$A$2:$B$1048576,2,FALSE)="QB",AG148,VLOOKUP(AH148,$A$2:$B$1048576,2,FALSE)="QB",AH148,VLOOKUP(AI148,$A$2:$B$1048576,2,FALSE)="QB",AI148)</f>
        <v>#N/A</v>
      </c>
      <c r="AL148" t="e" cm="1">
        <f t="array" ref="AL148">_xlfn.IFS(VLOOKUP(AA148,$A$2:$B$1048576,2,FALSE)="RB",AA148,VLOOKUP(AB148,$A$2:$B$1048576,2,FALSE)="RB",AB148,VLOOKUP(AC148,$A$2:$B$1048576,2,FALSE)="RB",AC148,VLOOKUP(AD148,$A$2:$B$1048576,2,FALSE)="RB",AD148,VLOOKUP(AE148,$A$2:$B$1048576,2,FALSE)="RB",AE148,VLOOKUP(AF148,$A$2:$B$1048576,2,FALSE)="RB",AF148,VLOOKUP(AG148,$A$2:$B$1048576,2,FALSE)="RB",AG148,VLOOKUP(AH148,$A$2:$B$1048576,2,FALSE)="RB",AH148,VLOOKUP(AI148,$A$2:$B$1048576,2,FALSE)="RB",AI148)</f>
        <v>#N/A</v>
      </c>
      <c r="AM148" t="e">
        <f t="shared" si="14"/>
        <v>#N/A</v>
      </c>
      <c r="AN148" t="e" cm="1">
        <f t="array" ref="AN148">_xlfn.IFS(VLOOKUP(AA148,$A$2:$B$1048576,2,FALSE)="WR",AA148,VLOOKUP(AB148,$A$2:$B$1048576,2,FALSE)="WR",AB148,VLOOKUP(AC148,$A$2:$B$1048576,2,FALSE)="WR",AC148,VLOOKUP(AD148,$A$2:$B$1048576,2,FALSE)="WR",AD148,VLOOKUP(AE148,$A$2:$B$1048576,2,FALSE)="WR",AE148,VLOOKUP(AF148,$A$2:$B$1048576,2,FALSE)="WR",AF148,VLOOKUP(AG148,$A$2:$B$1048576,2,FALSE)="WR",AG148,VLOOKUP(AH148,$A$2:$B$1048576,2,FALSE)="WR",AH148,VLOOKUP(AI148,$A$2:$B$1048576,2,FALSE)="WR",AI148)</f>
        <v>#N/A</v>
      </c>
      <c r="AO148" t="e">
        <f t="shared" si="15"/>
        <v>#N/A</v>
      </c>
      <c r="AP148" t="e">
        <f t="shared" si="16"/>
        <v>#N/A</v>
      </c>
      <c r="AQ148" t="e" cm="1">
        <f t="array" ref="AQ148">_xlfn.IFS(VLOOKUP(AA148,$A$2:$B$1048576,2,FALSE)="TE",AA148,VLOOKUP(AB148,$A$2:$B$1048576,2,FALSE)="TE",AB148,VLOOKUP(AC148,$A$2:$B$1048576,2,FALSE)="TE",AC148,VLOOKUP(AD148,$A$2:$B$1048576,2,FALSE)="TE",AD148,VLOOKUP(AE148,$A$2:$B$1048576,2,FALSE)="TE",AE148,VLOOKUP(AF148,$A$2:$B$1048576,2,FALSE)="TE",AF148,VLOOKUP(AG148,$A$2:$B$1048576,2,FALSE)="TE",AG148,VLOOKUP(AH148,$A$2:$B$1048576,2,FALSE)="TE",AH148,VLOOKUP(AI148,$A$2:$B$1048576,2,FALSE)="TE",AI148)</f>
        <v>#N/A</v>
      </c>
      <c r="AR148" t="e" cm="1">
        <f t="array" ref="AR148">_xlfn.IFS(IF(OR(AA148=AK148,AA148=AL148,AA148=AM148,AA148=AN148,AA148=AO148,AA148=AP148,AA148=AQ148,AA148=AS148),1,0)=0,AA148,IF(OR(AB148=AK148,AB148=AL148,AB148=AM148,AB148=AN148,AB148=AO148,AB148=AP148,AB148=AQ148,AB148=AS148),1,0)=0,AB148,IF(OR(AC148=AK148,AC148=AL148,AC148=AM148,AC148=AN148,AC148=AO148,AC148=AP148,AC148=AQ148,AC148=AS148),1,0)=0,AC148,IF(OR(AD148=AK148,AD148=AL148,AD148=AM148,AD148=AN148,AD148=AO148,AD148=AP148,AD148=AQ148,AD148=AS148),1,0)=0,AD148,IF(OR(AE148=AK148,AE148=AL148,AE148=AM148,AE148=AN148,AE148=AO148,AE148=AP148,AE148=AQ148,AE148=AS148),1,0)=0,AE148,IF(OR(AF148=AK148,AF148=AL148,AF148=AM148,AF148=AN148,AF148=AO148,AF148=AP148,AF148=AQ148,AF148=AS148),1,0)=0,AF148,IF(OR(AG148=AK148,AG148=AL148,AG148=AM148,AG148=AN148,AG148=AO148,AG148=AP148,AG148=AQ148,AG148=AS148),1,0)=0,AG148,IF(OR(AH148=AK148,AH148=AL148,AH148=AM148,AH148=AN148,AH148=AO148,AH148=AP148,AH148=AQ148,AH148=AS148),1,0)=0,AH148,IF(OR(AI148=AK148,AI148=AL148,AI148=AM148,AI148=AN148,AI148=AO148,AI148=AP148,AI148=AQ148,AI148=AS148),1,0)=0,AI148)</f>
        <v>#N/A</v>
      </c>
      <c r="AS148" t="e" cm="1">
        <f t="array" ref="AS148">_xlfn.IFS(VLOOKUP(AA148,$A$2:$B$1048576,2,FALSE)="DST",AA148,VLOOKUP(AB148,$A$2:$B$1048576,2,FALSE)="DST",AB148,VLOOKUP(AC148,$A$2:$B$1048576,2,FALSE)="DST",AC148,VLOOKUP(AD148,$A$2:$B$1048576,2,FALSE)="DST",AD148,VLOOKUP(AE148,$A$2:$B$1048576,2,FALSE)="DST",AE148,VLOOKUP(AF148,$A$2:$B$1048576,2,FALSE)="DST",AF148,VLOOKUP(AG148,$A$2:$B$1048576,2,FALSE)="DST",AG148,VLOOKUP(AH148,$A$2:$B$1048576,2,FALSE)="DST",AH148,VLOOKUP(AI148,$A$2:$B$1048576,2,FALSE)="DST",AI148)</f>
        <v>#N/A</v>
      </c>
    </row>
    <row r="149" spans="1:45" x14ac:dyDescent="0.35">
      <c r="A149" t="s">
        <v>172</v>
      </c>
      <c r="B149" s="11" t="s">
        <v>11</v>
      </c>
      <c r="C149" s="11">
        <v>3300</v>
      </c>
      <c r="D149" s="12">
        <v>7.5985733333333325</v>
      </c>
      <c r="E149" s="12">
        <v>8.1727681559145449</v>
      </c>
      <c r="F149" s="12">
        <v>17.753690088696516</v>
      </c>
      <c r="H149" s="11">
        <v>0</v>
      </c>
      <c r="I149">
        <f>IF(B149="QB",H149*1,0)</f>
        <v>0</v>
      </c>
      <c r="J149">
        <f>IF(B149="RB",H149*1,0)</f>
        <v>0</v>
      </c>
      <c r="K149">
        <f>IF(B149="WR",H149*1,0)</f>
        <v>0</v>
      </c>
      <c r="L149">
        <f>IF(B149="TE",H149*1,0)</f>
        <v>0</v>
      </c>
      <c r="M149">
        <f>IF(B149="DST",H149*1,0)</f>
        <v>0</v>
      </c>
      <c r="X149" s="11">
        <f t="shared" si="12"/>
        <v>1</v>
      </c>
      <c r="Y149" s="9">
        <v>148</v>
      </c>
      <c r="Z149" s="12">
        <f t="shared" si="13"/>
        <v>0</v>
      </c>
      <c r="AK149" t="e" cm="1">
        <f t="array" ref="AK149">_xlfn.IFS(VLOOKUP(AA149,$A$2:$B$1048576,2,FALSE)="QB",AA149,VLOOKUP(AB149,$A$2:$B$1048576,2,FALSE)="QB",AB149,VLOOKUP(AC149,$A$2:$B$1048576,2,FALSE)="QB",AC149,VLOOKUP(AD149,$A$2:$B$1048576,2,FALSE)="QB",AD149,VLOOKUP(AE149,$A$2:$B$1048576,2,FALSE)="QB",AE149,VLOOKUP(AF149,$A$2:$B$1048576,2,FALSE)="QB",AF149,VLOOKUP(AG149,$A$2:$B$1048576,2,FALSE)="QB",AG149,VLOOKUP(AH149,$A$2:$B$1048576,2,FALSE)="QB",AH149,VLOOKUP(AI149,$A$2:$B$1048576,2,FALSE)="QB",AI149)</f>
        <v>#N/A</v>
      </c>
      <c r="AL149" t="e" cm="1">
        <f t="array" ref="AL149">_xlfn.IFS(VLOOKUP(AA149,$A$2:$B$1048576,2,FALSE)="RB",AA149,VLOOKUP(AB149,$A$2:$B$1048576,2,FALSE)="RB",AB149,VLOOKUP(AC149,$A$2:$B$1048576,2,FALSE)="RB",AC149,VLOOKUP(AD149,$A$2:$B$1048576,2,FALSE)="RB",AD149,VLOOKUP(AE149,$A$2:$B$1048576,2,FALSE)="RB",AE149,VLOOKUP(AF149,$A$2:$B$1048576,2,FALSE)="RB",AF149,VLOOKUP(AG149,$A$2:$B$1048576,2,FALSE)="RB",AG149,VLOOKUP(AH149,$A$2:$B$1048576,2,FALSE)="RB",AH149,VLOOKUP(AI149,$A$2:$B$1048576,2,FALSE)="RB",AI149)</f>
        <v>#N/A</v>
      </c>
      <c r="AM149" t="e">
        <f t="shared" si="14"/>
        <v>#N/A</v>
      </c>
      <c r="AN149" t="e" cm="1">
        <f t="array" ref="AN149">_xlfn.IFS(VLOOKUP(AA149,$A$2:$B$1048576,2,FALSE)="WR",AA149,VLOOKUP(AB149,$A$2:$B$1048576,2,FALSE)="WR",AB149,VLOOKUP(AC149,$A$2:$B$1048576,2,FALSE)="WR",AC149,VLOOKUP(AD149,$A$2:$B$1048576,2,FALSE)="WR",AD149,VLOOKUP(AE149,$A$2:$B$1048576,2,FALSE)="WR",AE149,VLOOKUP(AF149,$A$2:$B$1048576,2,FALSE)="WR",AF149,VLOOKUP(AG149,$A$2:$B$1048576,2,FALSE)="WR",AG149,VLOOKUP(AH149,$A$2:$B$1048576,2,FALSE)="WR",AH149,VLOOKUP(AI149,$A$2:$B$1048576,2,FALSE)="WR",AI149)</f>
        <v>#N/A</v>
      </c>
      <c r="AO149" t="e">
        <f t="shared" si="15"/>
        <v>#N/A</v>
      </c>
      <c r="AP149" t="e">
        <f t="shared" si="16"/>
        <v>#N/A</v>
      </c>
      <c r="AQ149" t="e" cm="1">
        <f t="array" ref="AQ149">_xlfn.IFS(VLOOKUP(AA149,$A$2:$B$1048576,2,FALSE)="TE",AA149,VLOOKUP(AB149,$A$2:$B$1048576,2,FALSE)="TE",AB149,VLOOKUP(AC149,$A$2:$B$1048576,2,FALSE)="TE",AC149,VLOOKUP(AD149,$A$2:$B$1048576,2,FALSE)="TE",AD149,VLOOKUP(AE149,$A$2:$B$1048576,2,FALSE)="TE",AE149,VLOOKUP(AF149,$A$2:$B$1048576,2,FALSE)="TE",AF149,VLOOKUP(AG149,$A$2:$B$1048576,2,FALSE)="TE",AG149,VLOOKUP(AH149,$A$2:$B$1048576,2,FALSE)="TE",AH149,VLOOKUP(AI149,$A$2:$B$1048576,2,FALSE)="TE",AI149)</f>
        <v>#N/A</v>
      </c>
      <c r="AR149" t="e" cm="1">
        <f t="array" ref="AR149">_xlfn.IFS(IF(OR(AA149=AK149,AA149=AL149,AA149=AM149,AA149=AN149,AA149=AO149,AA149=AP149,AA149=AQ149,AA149=AS149),1,0)=0,AA149,IF(OR(AB149=AK149,AB149=AL149,AB149=AM149,AB149=AN149,AB149=AO149,AB149=AP149,AB149=AQ149,AB149=AS149),1,0)=0,AB149,IF(OR(AC149=AK149,AC149=AL149,AC149=AM149,AC149=AN149,AC149=AO149,AC149=AP149,AC149=AQ149,AC149=AS149),1,0)=0,AC149,IF(OR(AD149=AK149,AD149=AL149,AD149=AM149,AD149=AN149,AD149=AO149,AD149=AP149,AD149=AQ149,AD149=AS149),1,0)=0,AD149,IF(OR(AE149=AK149,AE149=AL149,AE149=AM149,AE149=AN149,AE149=AO149,AE149=AP149,AE149=AQ149,AE149=AS149),1,0)=0,AE149,IF(OR(AF149=AK149,AF149=AL149,AF149=AM149,AF149=AN149,AF149=AO149,AF149=AP149,AF149=AQ149,AF149=AS149),1,0)=0,AF149,IF(OR(AG149=AK149,AG149=AL149,AG149=AM149,AG149=AN149,AG149=AO149,AG149=AP149,AG149=AQ149,AG149=AS149),1,0)=0,AG149,IF(OR(AH149=AK149,AH149=AL149,AH149=AM149,AH149=AN149,AH149=AO149,AH149=AP149,AH149=AQ149,AH149=AS149),1,0)=0,AH149,IF(OR(AI149=AK149,AI149=AL149,AI149=AM149,AI149=AN149,AI149=AO149,AI149=AP149,AI149=AQ149,AI149=AS149),1,0)=0,AI149)</f>
        <v>#N/A</v>
      </c>
      <c r="AS149" t="e" cm="1">
        <f t="array" ref="AS149">_xlfn.IFS(VLOOKUP(AA149,$A$2:$B$1048576,2,FALSE)="DST",AA149,VLOOKUP(AB149,$A$2:$B$1048576,2,FALSE)="DST",AB149,VLOOKUP(AC149,$A$2:$B$1048576,2,FALSE)="DST",AC149,VLOOKUP(AD149,$A$2:$B$1048576,2,FALSE)="DST",AD149,VLOOKUP(AE149,$A$2:$B$1048576,2,FALSE)="DST",AE149,VLOOKUP(AF149,$A$2:$B$1048576,2,FALSE)="DST",AF149,VLOOKUP(AG149,$A$2:$B$1048576,2,FALSE)="DST",AG149,VLOOKUP(AH149,$A$2:$B$1048576,2,FALSE)="DST",AH149,VLOOKUP(AI149,$A$2:$B$1048576,2,FALSE)="DST",AI149)</f>
        <v>#N/A</v>
      </c>
    </row>
    <row r="150" spans="1:45" x14ac:dyDescent="0.35">
      <c r="A150" t="s">
        <v>173</v>
      </c>
      <c r="B150" s="11" t="s">
        <v>11</v>
      </c>
      <c r="C150" s="11">
        <v>3200</v>
      </c>
      <c r="D150" s="12">
        <v>8.3631983333333313</v>
      </c>
      <c r="E150" s="12">
        <v>9.4644323301771749</v>
      </c>
      <c r="F150" s="12">
        <v>20.06569522075349</v>
      </c>
      <c r="H150" s="11">
        <v>0</v>
      </c>
      <c r="I150">
        <f>IF(B150="QB",H150*1,0)</f>
        <v>0</v>
      </c>
      <c r="J150">
        <f>IF(B150="RB",H150*1,0)</f>
        <v>0</v>
      </c>
      <c r="K150">
        <f>IF(B150="WR",H150*1,0)</f>
        <v>0</v>
      </c>
      <c r="L150">
        <f>IF(B150="TE",H150*1,0)</f>
        <v>0</v>
      </c>
      <c r="M150">
        <f>IF(B150="DST",H150*1,0)</f>
        <v>0</v>
      </c>
      <c r="X150" s="11">
        <f t="shared" si="12"/>
        <v>1</v>
      </c>
      <c r="Y150" s="9">
        <v>149</v>
      </c>
      <c r="Z150" s="12">
        <f t="shared" si="13"/>
        <v>0</v>
      </c>
      <c r="AK150" t="e" cm="1">
        <f t="array" ref="AK150">_xlfn.IFS(VLOOKUP(AA150,$A$2:$B$1048576,2,FALSE)="QB",AA150,VLOOKUP(AB150,$A$2:$B$1048576,2,FALSE)="QB",AB150,VLOOKUP(AC150,$A$2:$B$1048576,2,FALSE)="QB",AC150,VLOOKUP(AD150,$A$2:$B$1048576,2,FALSE)="QB",AD150,VLOOKUP(AE150,$A$2:$B$1048576,2,FALSE)="QB",AE150,VLOOKUP(AF150,$A$2:$B$1048576,2,FALSE)="QB",AF150,VLOOKUP(AG150,$A$2:$B$1048576,2,FALSE)="QB",AG150,VLOOKUP(AH150,$A$2:$B$1048576,2,FALSE)="QB",AH150,VLOOKUP(AI150,$A$2:$B$1048576,2,FALSE)="QB",AI150)</f>
        <v>#N/A</v>
      </c>
      <c r="AL150" t="e" cm="1">
        <f t="array" ref="AL150">_xlfn.IFS(VLOOKUP(AA150,$A$2:$B$1048576,2,FALSE)="RB",AA150,VLOOKUP(AB150,$A$2:$B$1048576,2,FALSE)="RB",AB150,VLOOKUP(AC150,$A$2:$B$1048576,2,FALSE)="RB",AC150,VLOOKUP(AD150,$A$2:$B$1048576,2,FALSE)="RB",AD150,VLOOKUP(AE150,$A$2:$B$1048576,2,FALSE)="RB",AE150,VLOOKUP(AF150,$A$2:$B$1048576,2,FALSE)="RB",AF150,VLOOKUP(AG150,$A$2:$B$1048576,2,FALSE)="RB",AG150,VLOOKUP(AH150,$A$2:$B$1048576,2,FALSE)="RB",AH150,VLOOKUP(AI150,$A$2:$B$1048576,2,FALSE)="RB",AI150)</f>
        <v>#N/A</v>
      </c>
      <c r="AM150" t="e">
        <f t="shared" si="14"/>
        <v>#N/A</v>
      </c>
      <c r="AN150" t="e" cm="1">
        <f t="array" ref="AN150">_xlfn.IFS(VLOOKUP(AA150,$A$2:$B$1048576,2,FALSE)="WR",AA150,VLOOKUP(AB150,$A$2:$B$1048576,2,FALSE)="WR",AB150,VLOOKUP(AC150,$A$2:$B$1048576,2,FALSE)="WR",AC150,VLOOKUP(AD150,$A$2:$B$1048576,2,FALSE)="WR",AD150,VLOOKUP(AE150,$A$2:$B$1048576,2,FALSE)="WR",AE150,VLOOKUP(AF150,$A$2:$B$1048576,2,FALSE)="WR",AF150,VLOOKUP(AG150,$A$2:$B$1048576,2,FALSE)="WR",AG150,VLOOKUP(AH150,$A$2:$B$1048576,2,FALSE)="WR",AH150,VLOOKUP(AI150,$A$2:$B$1048576,2,FALSE)="WR",AI150)</f>
        <v>#N/A</v>
      </c>
      <c r="AO150" t="e">
        <f t="shared" si="15"/>
        <v>#N/A</v>
      </c>
      <c r="AP150" t="e">
        <f t="shared" si="16"/>
        <v>#N/A</v>
      </c>
      <c r="AQ150" t="e" cm="1">
        <f t="array" ref="AQ150">_xlfn.IFS(VLOOKUP(AA150,$A$2:$B$1048576,2,FALSE)="TE",AA150,VLOOKUP(AB150,$A$2:$B$1048576,2,FALSE)="TE",AB150,VLOOKUP(AC150,$A$2:$B$1048576,2,FALSE)="TE",AC150,VLOOKUP(AD150,$A$2:$B$1048576,2,FALSE)="TE",AD150,VLOOKUP(AE150,$A$2:$B$1048576,2,FALSE)="TE",AE150,VLOOKUP(AF150,$A$2:$B$1048576,2,FALSE)="TE",AF150,VLOOKUP(AG150,$A$2:$B$1048576,2,FALSE)="TE",AG150,VLOOKUP(AH150,$A$2:$B$1048576,2,FALSE)="TE",AH150,VLOOKUP(AI150,$A$2:$B$1048576,2,FALSE)="TE",AI150)</f>
        <v>#N/A</v>
      </c>
      <c r="AR150" t="e" cm="1">
        <f t="array" ref="AR150">_xlfn.IFS(IF(OR(AA150=AK150,AA150=AL150,AA150=AM150,AA150=AN150,AA150=AO150,AA150=AP150,AA150=AQ150,AA150=AS150),1,0)=0,AA150,IF(OR(AB150=AK150,AB150=AL150,AB150=AM150,AB150=AN150,AB150=AO150,AB150=AP150,AB150=AQ150,AB150=AS150),1,0)=0,AB150,IF(OR(AC150=AK150,AC150=AL150,AC150=AM150,AC150=AN150,AC150=AO150,AC150=AP150,AC150=AQ150,AC150=AS150),1,0)=0,AC150,IF(OR(AD150=AK150,AD150=AL150,AD150=AM150,AD150=AN150,AD150=AO150,AD150=AP150,AD150=AQ150,AD150=AS150),1,0)=0,AD150,IF(OR(AE150=AK150,AE150=AL150,AE150=AM150,AE150=AN150,AE150=AO150,AE150=AP150,AE150=AQ150,AE150=AS150),1,0)=0,AE150,IF(OR(AF150=AK150,AF150=AL150,AF150=AM150,AF150=AN150,AF150=AO150,AF150=AP150,AF150=AQ150,AF150=AS150),1,0)=0,AF150,IF(OR(AG150=AK150,AG150=AL150,AG150=AM150,AG150=AN150,AG150=AO150,AG150=AP150,AG150=AQ150,AG150=AS150),1,0)=0,AG150,IF(OR(AH150=AK150,AH150=AL150,AH150=AM150,AH150=AN150,AH150=AO150,AH150=AP150,AH150=AQ150,AH150=AS150),1,0)=0,AH150,IF(OR(AI150=AK150,AI150=AL150,AI150=AM150,AI150=AN150,AI150=AO150,AI150=AP150,AI150=AQ150,AI150=AS150),1,0)=0,AI150)</f>
        <v>#N/A</v>
      </c>
      <c r="AS150" t="e" cm="1">
        <f t="array" ref="AS150">_xlfn.IFS(VLOOKUP(AA150,$A$2:$B$1048576,2,FALSE)="DST",AA150,VLOOKUP(AB150,$A$2:$B$1048576,2,FALSE)="DST",AB150,VLOOKUP(AC150,$A$2:$B$1048576,2,FALSE)="DST",AC150,VLOOKUP(AD150,$A$2:$B$1048576,2,FALSE)="DST",AD150,VLOOKUP(AE150,$A$2:$B$1048576,2,FALSE)="DST",AE150,VLOOKUP(AF150,$A$2:$B$1048576,2,FALSE)="DST",AF150,VLOOKUP(AG150,$A$2:$B$1048576,2,FALSE)="DST",AG150,VLOOKUP(AH150,$A$2:$B$1048576,2,FALSE)="DST",AH150,VLOOKUP(AI150,$A$2:$B$1048576,2,FALSE)="DST",AI150)</f>
        <v>#N/A</v>
      </c>
    </row>
    <row r="151" spans="1:45" x14ac:dyDescent="0.35">
      <c r="A151" t="s">
        <v>174</v>
      </c>
      <c r="B151" s="11" t="s">
        <v>11</v>
      </c>
      <c r="C151" s="11">
        <v>3100</v>
      </c>
      <c r="D151" s="12">
        <v>8.9215733333333329</v>
      </c>
      <c r="E151" s="12">
        <v>9.0242553947976347</v>
      </c>
      <c r="F151" s="12">
        <v>21.76709726056583</v>
      </c>
      <c r="H151" s="11">
        <v>0</v>
      </c>
      <c r="I151">
        <f>IF(B151="QB",H151*1,0)</f>
        <v>0</v>
      </c>
      <c r="J151">
        <f>IF(B151="RB",H151*1,0)</f>
        <v>0</v>
      </c>
      <c r="K151">
        <f>IF(B151="WR",H151*1,0)</f>
        <v>0</v>
      </c>
      <c r="L151">
        <f>IF(B151="TE",H151*1,0)</f>
        <v>0</v>
      </c>
      <c r="M151">
        <f>IF(B151="DST",H151*1,0)</f>
        <v>0</v>
      </c>
      <c r="X151" s="11">
        <f t="shared" si="12"/>
        <v>1</v>
      </c>
      <c r="Y151" s="9">
        <v>150</v>
      </c>
      <c r="Z151" s="12">
        <f t="shared" si="13"/>
        <v>0</v>
      </c>
      <c r="AK151" t="e" cm="1">
        <f t="array" ref="AK151">_xlfn.IFS(VLOOKUP(AA151,$A$2:$B$1048576,2,FALSE)="QB",AA151,VLOOKUP(AB151,$A$2:$B$1048576,2,FALSE)="QB",AB151,VLOOKUP(AC151,$A$2:$B$1048576,2,FALSE)="QB",AC151,VLOOKUP(AD151,$A$2:$B$1048576,2,FALSE)="QB",AD151,VLOOKUP(AE151,$A$2:$B$1048576,2,FALSE)="QB",AE151,VLOOKUP(AF151,$A$2:$B$1048576,2,FALSE)="QB",AF151,VLOOKUP(AG151,$A$2:$B$1048576,2,FALSE)="QB",AG151,VLOOKUP(AH151,$A$2:$B$1048576,2,FALSE)="QB",AH151,VLOOKUP(AI151,$A$2:$B$1048576,2,FALSE)="QB",AI151)</f>
        <v>#N/A</v>
      </c>
      <c r="AL151" t="e" cm="1">
        <f t="array" ref="AL151">_xlfn.IFS(VLOOKUP(AA151,$A$2:$B$1048576,2,FALSE)="RB",AA151,VLOOKUP(AB151,$A$2:$B$1048576,2,FALSE)="RB",AB151,VLOOKUP(AC151,$A$2:$B$1048576,2,FALSE)="RB",AC151,VLOOKUP(AD151,$A$2:$B$1048576,2,FALSE)="RB",AD151,VLOOKUP(AE151,$A$2:$B$1048576,2,FALSE)="RB",AE151,VLOOKUP(AF151,$A$2:$B$1048576,2,FALSE)="RB",AF151,VLOOKUP(AG151,$A$2:$B$1048576,2,FALSE)="RB",AG151,VLOOKUP(AH151,$A$2:$B$1048576,2,FALSE)="RB",AH151,VLOOKUP(AI151,$A$2:$B$1048576,2,FALSE)="RB",AI151)</f>
        <v>#N/A</v>
      </c>
      <c r="AM151" t="e">
        <f t="shared" si="14"/>
        <v>#N/A</v>
      </c>
      <c r="AN151" t="e" cm="1">
        <f t="array" ref="AN151">_xlfn.IFS(VLOOKUP(AA151,$A$2:$B$1048576,2,FALSE)="WR",AA151,VLOOKUP(AB151,$A$2:$B$1048576,2,FALSE)="WR",AB151,VLOOKUP(AC151,$A$2:$B$1048576,2,FALSE)="WR",AC151,VLOOKUP(AD151,$A$2:$B$1048576,2,FALSE)="WR",AD151,VLOOKUP(AE151,$A$2:$B$1048576,2,FALSE)="WR",AE151,VLOOKUP(AF151,$A$2:$B$1048576,2,FALSE)="WR",AF151,VLOOKUP(AG151,$A$2:$B$1048576,2,FALSE)="WR",AG151,VLOOKUP(AH151,$A$2:$B$1048576,2,FALSE)="WR",AH151,VLOOKUP(AI151,$A$2:$B$1048576,2,FALSE)="WR",AI151)</f>
        <v>#N/A</v>
      </c>
      <c r="AO151" t="e">
        <f t="shared" si="15"/>
        <v>#N/A</v>
      </c>
      <c r="AP151" t="e">
        <f t="shared" si="16"/>
        <v>#N/A</v>
      </c>
      <c r="AQ151" t="e" cm="1">
        <f t="array" ref="AQ151">_xlfn.IFS(VLOOKUP(AA151,$A$2:$B$1048576,2,FALSE)="TE",AA151,VLOOKUP(AB151,$A$2:$B$1048576,2,FALSE)="TE",AB151,VLOOKUP(AC151,$A$2:$B$1048576,2,FALSE)="TE",AC151,VLOOKUP(AD151,$A$2:$B$1048576,2,FALSE)="TE",AD151,VLOOKUP(AE151,$A$2:$B$1048576,2,FALSE)="TE",AE151,VLOOKUP(AF151,$A$2:$B$1048576,2,FALSE)="TE",AF151,VLOOKUP(AG151,$A$2:$B$1048576,2,FALSE)="TE",AG151,VLOOKUP(AH151,$A$2:$B$1048576,2,FALSE)="TE",AH151,VLOOKUP(AI151,$A$2:$B$1048576,2,FALSE)="TE",AI151)</f>
        <v>#N/A</v>
      </c>
      <c r="AR151" t="e" cm="1">
        <f t="array" ref="AR151">_xlfn.IFS(IF(OR(AA151=AK151,AA151=AL151,AA151=AM151,AA151=AN151,AA151=AO151,AA151=AP151,AA151=AQ151,AA151=AS151),1,0)=0,AA151,IF(OR(AB151=AK151,AB151=AL151,AB151=AM151,AB151=AN151,AB151=AO151,AB151=AP151,AB151=AQ151,AB151=AS151),1,0)=0,AB151,IF(OR(AC151=AK151,AC151=AL151,AC151=AM151,AC151=AN151,AC151=AO151,AC151=AP151,AC151=AQ151,AC151=AS151),1,0)=0,AC151,IF(OR(AD151=AK151,AD151=AL151,AD151=AM151,AD151=AN151,AD151=AO151,AD151=AP151,AD151=AQ151,AD151=AS151),1,0)=0,AD151,IF(OR(AE151=AK151,AE151=AL151,AE151=AM151,AE151=AN151,AE151=AO151,AE151=AP151,AE151=AQ151,AE151=AS151),1,0)=0,AE151,IF(OR(AF151=AK151,AF151=AL151,AF151=AM151,AF151=AN151,AF151=AO151,AF151=AP151,AF151=AQ151,AF151=AS151),1,0)=0,AF151,IF(OR(AG151=AK151,AG151=AL151,AG151=AM151,AG151=AN151,AG151=AO151,AG151=AP151,AG151=AQ151,AG151=AS151),1,0)=0,AG151,IF(OR(AH151=AK151,AH151=AL151,AH151=AM151,AH151=AN151,AH151=AO151,AH151=AP151,AH151=AQ151,AH151=AS151),1,0)=0,AH151,IF(OR(AI151=AK151,AI151=AL151,AI151=AM151,AI151=AN151,AI151=AO151,AI151=AP151,AI151=AQ151,AI151=AS151),1,0)=0,AI151)</f>
        <v>#N/A</v>
      </c>
      <c r="AS151" t="e" cm="1">
        <f t="array" ref="AS151">_xlfn.IFS(VLOOKUP(AA151,$A$2:$B$1048576,2,FALSE)="DST",AA151,VLOOKUP(AB151,$A$2:$B$1048576,2,FALSE)="DST",AB151,VLOOKUP(AC151,$A$2:$B$1048576,2,FALSE)="DST",AC151,VLOOKUP(AD151,$A$2:$B$1048576,2,FALSE)="DST",AD151,VLOOKUP(AE151,$A$2:$B$1048576,2,FALSE)="DST",AE151,VLOOKUP(AF151,$A$2:$B$1048576,2,FALSE)="DST",AF151,VLOOKUP(AG151,$A$2:$B$1048576,2,FALSE)="DST",AG151,VLOOKUP(AH151,$A$2:$B$1048576,2,FALSE)="DST",AH151,VLOOKUP(AI151,$A$2:$B$1048576,2,FALSE)="DST",AI151)</f>
        <v>#N/A</v>
      </c>
    </row>
    <row r="152" spans="1:45" x14ac:dyDescent="0.35">
      <c r="A152" t="s">
        <v>175</v>
      </c>
      <c r="B152" s="11" t="s">
        <v>11</v>
      </c>
      <c r="C152" s="11">
        <v>3000</v>
      </c>
      <c r="D152" s="12">
        <v>8.4055733333333329</v>
      </c>
      <c r="E152" s="12">
        <v>0</v>
      </c>
      <c r="F152" s="12">
        <v>20.211228576066173</v>
      </c>
      <c r="H152" s="11">
        <v>0</v>
      </c>
      <c r="I152">
        <f>IF(B152="QB",H152*1,0)</f>
        <v>0</v>
      </c>
      <c r="J152">
        <f>IF(B152="RB",H152*1,0)</f>
        <v>0</v>
      </c>
      <c r="K152">
        <f>IF(B152="WR",H152*1,0)</f>
        <v>0</v>
      </c>
      <c r="L152">
        <f>IF(B152="TE",H152*1,0)</f>
        <v>0</v>
      </c>
      <c r="M152">
        <f>IF(B152="DST",H152*1,0)</f>
        <v>0</v>
      </c>
    </row>
    <row r="153" spans="1:45" x14ac:dyDescent="0.35">
      <c r="A153" t="s">
        <v>176</v>
      </c>
      <c r="B153" s="11" t="s">
        <v>11</v>
      </c>
      <c r="C153" s="11">
        <v>2900</v>
      </c>
      <c r="D153" s="12">
        <v>4.4967633333333321</v>
      </c>
      <c r="E153" s="12">
        <v>4.5141205214933739</v>
      </c>
      <c r="F153" s="12">
        <v>8.5094669731782684</v>
      </c>
      <c r="H153" s="11">
        <v>0</v>
      </c>
      <c r="I153">
        <f>IF(B153="QB",H153*1,0)</f>
        <v>0</v>
      </c>
      <c r="J153">
        <f>IF(B153="RB",H153*1,0)</f>
        <v>0</v>
      </c>
      <c r="K153">
        <f>IF(B153="WR",H153*1,0)</f>
        <v>0</v>
      </c>
      <c r="L153">
        <f>IF(B153="TE",H153*1,0)</f>
        <v>0</v>
      </c>
      <c r="M153">
        <f>IF(B153="DST",H153*1,0)</f>
        <v>0</v>
      </c>
    </row>
    <row r="154" spans="1:45" x14ac:dyDescent="0.35">
      <c r="A154" t="s">
        <v>177</v>
      </c>
      <c r="B154" s="11" t="s">
        <v>11</v>
      </c>
      <c r="C154" s="11">
        <v>2800</v>
      </c>
      <c r="D154" s="12">
        <v>6.7535733333333319</v>
      </c>
      <c r="E154" s="12">
        <v>0</v>
      </c>
      <c r="F154" s="12">
        <v>15.23795228578518</v>
      </c>
      <c r="H154" s="11">
        <v>0</v>
      </c>
      <c r="I154">
        <f>IF(B154="QB",H154*1,0)</f>
        <v>0</v>
      </c>
      <c r="J154">
        <f>IF(B154="RB",H154*1,0)</f>
        <v>0</v>
      </c>
      <c r="K154">
        <f>IF(B154="WR",H154*1,0)</f>
        <v>0</v>
      </c>
      <c r="L154">
        <f>IF(B154="TE",H154*1,0)</f>
        <v>0</v>
      </c>
      <c r="M154">
        <f>IF(B154="DST",H154*1,0)</f>
        <v>0</v>
      </c>
    </row>
    <row r="155" spans="1:45" x14ac:dyDescent="0.35">
      <c r="A155" t="s">
        <v>178</v>
      </c>
      <c r="B155" s="11" t="s">
        <v>11</v>
      </c>
      <c r="C155" s="11">
        <v>2700</v>
      </c>
      <c r="D155" s="12">
        <v>4.9465133333333329</v>
      </c>
      <c r="E155" s="12">
        <v>5.0852168185461482</v>
      </c>
      <c r="F155" s="12">
        <v>9.8411391858506843</v>
      </c>
      <c r="H155" s="11">
        <v>0</v>
      </c>
      <c r="I155">
        <f>IF(B155="QB",H155*1,0)</f>
        <v>0</v>
      </c>
      <c r="J155">
        <f>IF(B155="RB",H155*1,0)</f>
        <v>0</v>
      </c>
      <c r="K155">
        <f>IF(B155="WR",H155*1,0)</f>
        <v>0</v>
      </c>
      <c r="L155">
        <f>IF(B155="TE",H155*1,0)</f>
        <v>0</v>
      </c>
      <c r="M155">
        <f>IF(B155="DST",H155*1,0)</f>
        <v>0</v>
      </c>
    </row>
    <row r="156" spans="1:45" x14ac:dyDescent="0.35">
      <c r="A156" t="s">
        <v>179</v>
      </c>
      <c r="B156" s="11" t="s">
        <v>11</v>
      </c>
      <c r="C156" s="11">
        <v>2600</v>
      </c>
      <c r="D156" s="12">
        <v>5.9790733333333339</v>
      </c>
      <c r="E156" s="12">
        <v>6.5008082845509962</v>
      </c>
      <c r="F156" s="12">
        <v>12.92129988057315</v>
      </c>
      <c r="H156" s="11">
        <v>0</v>
      </c>
      <c r="I156">
        <f>IF(B156="QB",H156*1,0)</f>
        <v>0</v>
      </c>
      <c r="J156">
        <f>IF(B156="RB",H156*1,0)</f>
        <v>0</v>
      </c>
      <c r="K156">
        <f>IF(B156="WR",H156*1,0)</f>
        <v>0</v>
      </c>
      <c r="L156">
        <f>IF(B156="TE",H156*1,0)</f>
        <v>0</v>
      </c>
      <c r="M156">
        <f>IF(B156="DST",H156*1,0)</f>
        <v>0</v>
      </c>
    </row>
    <row r="157" spans="1:45" x14ac:dyDescent="0.35">
      <c r="A157" t="s">
        <v>180</v>
      </c>
      <c r="B157" s="11" t="s">
        <v>11</v>
      </c>
      <c r="C157" s="11">
        <v>2600</v>
      </c>
      <c r="D157" s="12">
        <v>5.4957633333333344</v>
      </c>
      <c r="E157" s="12">
        <v>6.8528752270914186</v>
      </c>
      <c r="F157" s="12">
        <v>11.476540788961666</v>
      </c>
      <c r="H157" s="11">
        <v>0</v>
      </c>
      <c r="I157">
        <f>IF(B157="QB",H157*1,0)</f>
        <v>0</v>
      </c>
      <c r="J157">
        <f>IF(B157="RB",H157*1,0)</f>
        <v>0</v>
      </c>
      <c r="K157">
        <f>IF(B157="WR",H157*1,0)</f>
        <v>0</v>
      </c>
      <c r="L157">
        <f>IF(B157="TE",H157*1,0)</f>
        <v>0</v>
      </c>
      <c r="M157">
        <f>IF(B157="DST",H157*1,0)</f>
        <v>0</v>
      </c>
    </row>
    <row r="158" spans="1:45" x14ac:dyDescent="0.35">
      <c r="A158" t="s">
        <v>181</v>
      </c>
      <c r="B158" s="11" t="s">
        <v>11</v>
      </c>
      <c r="C158" s="11">
        <v>2500</v>
      </c>
      <c r="D158" s="12">
        <v>6.3193233333333323</v>
      </c>
      <c r="E158" s="12">
        <v>7.8771066210004204</v>
      </c>
      <c r="F158" s="12">
        <v>13.945294080675238</v>
      </c>
      <c r="H158" s="11">
        <v>0</v>
      </c>
      <c r="I158">
        <f>IF(B158="QB",H158*1,0)</f>
        <v>0</v>
      </c>
      <c r="J158">
        <f>IF(B158="RB",H158*1,0)</f>
        <v>0</v>
      </c>
      <c r="K158">
        <f>IF(B158="WR",H158*1,0)</f>
        <v>0</v>
      </c>
      <c r="L158">
        <f>IF(B158="TE",H158*1,0)</f>
        <v>0</v>
      </c>
      <c r="M158">
        <f>IF(B158="DST",H158*1,0)</f>
        <v>0</v>
      </c>
    </row>
    <row r="159" spans="1:45" x14ac:dyDescent="0.35">
      <c r="A159" t="s">
        <v>182</v>
      </c>
      <c r="B159" s="11" t="s">
        <v>11</v>
      </c>
      <c r="C159" s="11">
        <v>2500</v>
      </c>
      <c r="D159" s="12">
        <v>6.0768233333333326</v>
      </c>
      <c r="E159" s="12">
        <v>6.6290124302665143</v>
      </c>
      <c r="F159" s="12">
        <v>13.21707748239746</v>
      </c>
      <c r="H159" s="11">
        <v>0</v>
      </c>
      <c r="I159">
        <f>IF(B159="QB",H159*1,0)</f>
        <v>0</v>
      </c>
      <c r="J159">
        <f>IF(B159="RB",H159*1,0)</f>
        <v>0</v>
      </c>
      <c r="K159">
        <f>IF(B159="WR",H159*1,0)</f>
        <v>0</v>
      </c>
      <c r="L159">
        <f>IF(B159="TE",H159*1,0)</f>
        <v>0</v>
      </c>
      <c r="M159">
        <f>IF(B159="DST",H159*1,0)</f>
        <v>0</v>
      </c>
    </row>
    <row r="160" spans="1:45" x14ac:dyDescent="0.35">
      <c r="A160" t="s">
        <v>183</v>
      </c>
      <c r="B160" s="11" t="s">
        <v>11</v>
      </c>
      <c r="C160" s="11">
        <v>2400</v>
      </c>
      <c r="D160" s="12">
        <v>6.174573333333333</v>
      </c>
      <c r="E160" s="12">
        <v>6.1745734682332607</v>
      </c>
      <c r="F160" s="12">
        <v>13.513976778254012</v>
      </c>
      <c r="H160" s="11">
        <v>0</v>
      </c>
      <c r="I160">
        <f>IF(B160="QB",H160*1,0)</f>
        <v>0</v>
      </c>
      <c r="J160">
        <f>IF(B160="RB",H160*1,0)</f>
        <v>0</v>
      </c>
      <c r="K160">
        <f>IF(B160="WR",H160*1,0)</f>
        <v>0</v>
      </c>
      <c r="L160">
        <f>IF(B160="TE",H160*1,0)</f>
        <v>0</v>
      </c>
      <c r="M160">
        <f>IF(B160="DST",H160*1,0)</f>
        <v>0</v>
      </c>
    </row>
    <row r="161" spans="1:13" x14ac:dyDescent="0.35">
      <c r="A161" t="s">
        <v>184</v>
      </c>
      <c r="B161" s="11" t="s">
        <v>11</v>
      </c>
      <c r="C161" s="11">
        <v>2300</v>
      </c>
      <c r="D161" s="12">
        <v>6.1685733333333319</v>
      </c>
      <c r="E161" s="12">
        <v>7.4344706048960703</v>
      </c>
      <c r="F161" s="12">
        <v>13.499750142719158</v>
      </c>
      <c r="H161" s="11">
        <v>0</v>
      </c>
      <c r="I161">
        <f>IF(B161="QB",H161*1,0)</f>
        <v>0</v>
      </c>
      <c r="J161">
        <f>IF(B161="RB",H161*1,0)</f>
        <v>0</v>
      </c>
      <c r="K161">
        <f>IF(B161="WR",H161*1,0)</f>
        <v>0</v>
      </c>
      <c r="L161">
        <f>IF(B161="TE",H161*1,0)</f>
        <v>0</v>
      </c>
      <c r="M161">
        <f>IF(B161="DST",H161*1,0)</f>
        <v>0</v>
      </c>
    </row>
    <row r="162" spans="1:13" x14ac:dyDescent="0.35">
      <c r="A162" t="s">
        <v>185</v>
      </c>
      <c r="B162" s="11" t="s">
        <v>11</v>
      </c>
      <c r="C162" s="11">
        <v>2300</v>
      </c>
      <c r="D162" s="12">
        <v>4.5748233333333319</v>
      </c>
      <c r="E162" s="12">
        <v>4.9813286744835796</v>
      </c>
      <c r="F162" s="12">
        <v>8.7352351625334705</v>
      </c>
      <c r="H162" s="11">
        <v>0</v>
      </c>
      <c r="I162">
        <f>IF(B162="QB",H162*1,0)</f>
        <v>0</v>
      </c>
      <c r="J162">
        <f>IF(B162="RB",H162*1,0)</f>
        <v>0</v>
      </c>
      <c r="K162">
        <f>IF(B162="WR",H162*1,0)</f>
        <v>0</v>
      </c>
      <c r="L162">
        <f>IF(B162="TE",H162*1,0)</f>
        <v>0</v>
      </c>
      <c r="M162">
        <f>IF(B162="DST",H162*1,0)</f>
        <v>0</v>
      </c>
    </row>
    <row r="163" spans="1:13" x14ac:dyDescent="0.35">
      <c r="A163" t="s">
        <v>186</v>
      </c>
      <c r="B163" s="11" t="s">
        <v>11</v>
      </c>
      <c r="C163" s="11">
        <v>2200</v>
      </c>
      <c r="D163" s="12">
        <v>5.1525733333333328</v>
      </c>
      <c r="E163" s="12">
        <v>7.0555364327084815</v>
      </c>
      <c r="F163" s="12">
        <v>10.455427936277102</v>
      </c>
      <c r="H163" s="11">
        <v>0</v>
      </c>
      <c r="I163">
        <f>IF(B163="QB",H163*1,0)</f>
        <v>0</v>
      </c>
      <c r="J163">
        <f>IF(B163="RB",H163*1,0)</f>
        <v>0</v>
      </c>
      <c r="K163">
        <f>IF(B163="WR",H163*1,0)</f>
        <v>0</v>
      </c>
      <c r="L163">
        <f>IF(B163="TE",H163*1,0)</f>
        <v>0</v>
      </c>
      <c r="M163">
        <f>IF(B163="DST",H163*1,0)</f>
        <v>0</v>
      </c>
    </row>
    <row r="164" spans="1:13" x14ac:dyDescent="0.35">
      <c r="A164" t="s">
        <v>187</v>
      </c>
      <c r="B164" s="11" t="s">
        <v>11</v>
      </c>
      <c r="C164" s="11">
        <v>2200</v>
      </c>
      <c r="D164" s="12">
        <v>4.6525733333333328</v>
      </c>
      <c r="E164" s="12">
        <v>5.7407676246965398</v>
      </c>
      <c r="F164" s="12">
        <v>8.9652423049639722</v>
      </c>
      <c r="H164" s="11">
        <v>0</v>
      </c>
      <c r="I164">
        <f>IF(B164="QB",H164*1,0)</f>
        <v>0</v>
      </c>
      <c r="J164">
        <f>IF(B164="RB",H164*1,0)</f>
        <v>0</v>
      </c>
      <c r="K164">
        <f>IF(B164="WR",H164*1,0)</f>
        <v>0</v>
      </c>
      <c r="L164">
        <f>IF(B164="TE",H164*1,0)</f>
        <v>0</v>
      </c>
      <c r="M164">
        <f>IF(B164="DST",H164*1,0)</f>
        <v>0</v>
      </c>
    </row>
    <row r="165" spans="1:13" x14ac:dyDescent="0.35">
      <c r="A165" t="s">
        <v>188</v>
      </c>
      <c r="B165" s="11" t="s">
        <v>11</v>
      </c>
      <c r="C165" s="11">
        <v>2100</v>
      </c>
      <c r="D165" s="12">
        <v>3.5578233333333333</v>
      </c>
      <c r="E165" s="12">
        <v>3.9464005683945822</v>
      </c>
      <c r="F165" s="12">
        <v>5.7223873639520066</v>
      </c>
      <c r="H165" s="11">
        <v>0</v>
      </c>
      <c r="I165">
        <f>IF(B165="QB",H165*1,0)</f>
        <v>0</v>
      </c>
      <c r="J165">
        <f>IF(B165="RB",H165*1,0)</f>
        <v>0</v>
      </c>
      <c r="K165">
        <f>IF(B165="WR",H165*1,0)</f>
        <v>0</v>
      </c>
      <c r="L165">
        <f>IF(B165="TE",H165*1,0)</f>
        <v>0</v>
      </c>
      <c r="M165">
        <f>IF(B165="DST",H165*1,0)</f>
        <v>0</v>
      </c>
    </row>
    <row r="166" spans="1:13" x14ac:dyDescent="0.35">
      <c r="A166" t="s">
        <v>189</v>
      </c>
      <c r="B166" s="11" t="s">
        <v>11</v>
      </c>
      <c r="C166" s="11">
        <v>2100</v>
      </c>
      <c r="D166" s="12">
        <v>3.3732633333333335</v>
      </c>
      <c r="E166" s="12">
        <v>3.762921238507845</v>
      </c>
      <c r="F166" s="12">
        <v>5.1791373451297842</v>
      </c>
      <c r="H166" s="11">
        <v>0</v>
      </c>
      <c r="I166">
        <f>IF(B166="QB",H166*1,0)</f>
        <v>0</v>
      </c>
      <c r="J166">
        <f>IF(B166="RB",H166*1,0)</f>
        <v>0</v>
      </c>
      <c r="K166">
        <f>IF(B166="WR",H166*1,0)</f>
        <v>0</v>
      </c>
      <c r="L166">
        <f>IF(B166="TE",H166*1,0)</f>
        <v>0</v>
      </c>
      <c r="M166">
        <f>IF(B166="DST",H166*1,0)</f>
        <v>0</v>
      </c>
    </row>
    <row r="167" spans="1:13" x14ac:dyDescent="0.35">
      <c r="A167" t="s">
        <v>190</v>
      </c>
      <c r="B167" s="11" t="s">
        <v>11</v>
      </c>
      <c r="C167" s="11">
        <v>2000</v>
      </c>
      <c r="D167" s="12">
        <v>1.7903333333333331</v>
      </c>
      <c r="E167" s="12">
        <v>1.7903333415795251</v>
      </c>
      <c r="F167" s="12">
        <v>0.55467094606481204</v>
      </c>
      <c r="H167" s="11">
        <v>0</v>
      </c>
      <c r="I167">
        <f>IF(B167="QB",H167*1,0)</f>
        <v>0</v>
      </c>
      <c r="J167">
        <f>IF(B167="RB",H167*1,0)</f>
        <v>0</v>
      </c>
      <c r="K167">
        <f>IF(B167="WR",H167*1,0)</f>
        <v>0</v>
      </c>
      <c r="L167">
        <f>IF(B167="TE",H167*1,0)</f>
        <v>0</v>
      </c>
      <c r="M167">
        <f>IF(B167="DST",H167*1,0)</f>
        <v>0</v>
      </c>
    </row>
    <row r="168" spans="1:13" x14ac:dyDescent="0.35">
      <c r="A168" t="s">
        <v>191</v>
      </c>
      <c r="B168" s="11" t="s">
        <v>11</v>
      </c>
      <c r="C168" s="11">
        <v>2000</v>
      </c>
      <c r="D168" s="12">
        <v>3.7161983333333319</v>
      </c>
      <c r="E168" s="12">
        <v>4.025854057864108</v>
      </c>
      <c r="F168" s="12">
        <v>6.1860034070180925</v>
      </c>
      <c r="H168" s="11">
        <v>0</v>
      </c>
      <c r="I168">
        <f>IF(B168="QB",H168*1,0)</f>
        <v>0</v>
      </c>
      <c r="J168">
        <f>IF(B168="RB",H168*1,0)</f>
        <v>0</v>
      </c>
      <c r="K168">
        <f>IF(B168="WR",H168*1,0)</f>
        <v>0</v>
      </c>
      <c r="L168">
        <f>IF(B168="TE",H168*1,0)</f>
        <v>0</v>
      </c>
      <c r="M168">
        <f>IF(B168="DST",H168*1,0)</f>
        <v>0</v>
      </c>
    </row>
    <row r="169" spans="1:13" x14ac:dyDescent="0.35">
      <c r="D169" s="12"/>
      <c r="E169" s="12"/>
      <c r="F169" s="12"/>
      <c r="H169" s="11">
        <v>0</v>
      </c>
    </row>
    <row r="170" spans="1:13" x14ac:dyDescent="0.35">
      <c r="D170" s="12"/>
      <c r="E170" s="12"/>
      <c r="F170" s="12"/>
      <c r="H170" s="11">
        <v>0</v>
      </c>
    </row>
    <row r="171" spans="1:13" x14ac:dyDescent="0.35">
      <c r="D171" s="12"/>
      <c r="E171" s="12"/>
      <c r="F171" s="12"/>
      <c r="H171" s="11">
        <v>0</v>
      </c>
    </row>
    <row r="172" spans="1:13" x14ac:dyDescent="0.35">
      <c r="D172" s="12"/>
      <c r="E172" s="12"/>
      <c r="F172" s="12"/>
      <c r="H172" s="11">
        <v>0</v>
      </c>
    </row>
    <row r="173" spans="1:13" x14ac:dyDescent="0.35">
      <c r="D173" s="12"/>
      <c r="E173" s="12"/>
      <c r="F173" s="12"/>
      <c r="H173" s="11">
        <v>0</v>
      </c>
    </row>
    <row r="174" spans="1:13" x14ac:dyDescent="0.35">
      <c r="D174" s="12"/>
      <c r="E174" s="12"/>
      <c r="F174" s="12"/>
      <c r="H174" s="11">
        <v>0</v>
      </c>
    </row>
    <row r="175" spans="1:13" x14ac:dyDescent="0.35">
      <c r="D175" s="12"/>
      <c r="E175" s="12"/>
      <c r="F175" s="12"/>
      <c r="H175" s="11">
        <v>0</v>
      </c>
    </row>
    <row r="176" spans="1:13" x14ac:dyDescent="0.35">
      <c r="D176" s="12"/>
      <c r="E176" s="12"/>
      <c r="F176" s="12"/>
      <c r="H176" s="11">
        <v>0</v>
      </c>
    </row>
    <row r="177" spans="4:8" x14ac:dyDescent="0.35">
      <c r="D177" s="12"/>
      <c r="E177" s="12"/>
      <c r="F177" s="12"/>
      <c r="H177" s="11">
        <v>0</v>
      </c>
    </row>
    <row r="178" spans="4:8" x14ac:dyDescent="0.35">
      <c r="D178" s="12"/>
      <c r="E178" s="12"/>
      <c r="F178" s="12"/>
      <c r="H178" s="11">
        <v>0</v>
      </c>
    </row>
    <row r="179" spans="4:8" x14ac:dyDescent="0.35">
      <c r="D179" s="12"/>
      <c r="E179" s="12"/>
      <c r="F179" s="12"/>
      <c r="H179" s="11">
        <v>0</v>
      </c>
    </row>
    <row r="180" spans="4:8" x14ac:dyDescent="0.35">
      <c r="D180" s="12"/>
      <c r="E180" s="12"/>
      <c r="F180" s="12"/>
      <c r="H180" s="11">
        <v>0</v>
      </c>
    </row>
    <row r="181" spans="4:8" x14ac:dyDescent="0.35">
      <c r="D181" s="12"/>
      <c r="E181" s="12"/>
      <c r="F181" s="12"/>
      <c r="H181" s="11">
        <v>0</v>
      </c>
    </row>
    <row r="182" spans="4:8" x14ac:dyDescent="0.35">
      <c r="D182" s="12"/>
      <c r="E182" s="12"/>
      <c r="F182" s="12"/>
      <c r="H182" s="11">
        <v>0</v>
      </c>
    </row>
    <row r="183" spans="4:8" x14ac:dyDescent="0.35">
      <c r="D183" s="12"/>
      <c r="E183" s="12"/>
      <c r="F183" s="12"/>
      <c r="H183" s="11">
        <v>0</v>
      </c>
    </row>
    <row r="184" spans="4:8" x14ac:dyDescent="0.35">
      <c r="D184" s="12"/>
      <c r="E184" s="12"/>
      <c r="F184" s="12"/>
      <c r="H184" s="11">
        <v>0</v>
      </c>
    </row>
    <row r="185" spans="4:8" x14ac:dyDescent="0.35">
      <c r="D185" s="12"/>
      <c r="E185" s="12"/>
      <c r="F185" s="12"/>
      <c r="H185" s="11">
        <v>0</v>
      </c>
    </row>
    <row r="186" spans="4:8" x14ac:dyDescent="0.35">
      <c r="D186" s="12"/>
      <c r="E186" s="12"/>
      <c r="F186" s="12"/>
      <c r="H186" s="11">
        <v>0</v>
      </c>
    </row>
    <row r="187" spans="4:8" x14ac:dyDescent="0.35">
      <c r="D187" s="12"/>
      <c r="E187" s="12"/>
      <c r="F187" s="12"/>
      <c r="G187" s="28"/>
      <c r="H187" s="11">
        <v>0</v>
      </c>
    </row>
    <row r="188" spans="4:8" x14ac:dyDescent="0.35">
      <c r="D188" s="12"/>
      <c r="E188" s="12"/>
      <c r="F188" s="12"/>
      <c r="H188" s="11">
        <v>0</v>
      </c>
    </row>
    <row r="189" spans="4:8" x14ac:dyDescent="0.35">
      <c r="D189" s="12"/>
      <c r="E189" s="12"/>
      <c r="F189" s="12"/>
      <c r="H189" s="11">
        <v>0</v>
      </c>
    </row>
    <row r="190" spans="4:8" x14ac:dyDescent="0.35">
      <c r="D190" s="12"/>
      <c r="E190" s="12"/>
      <c r="F190" s="12"/>
      <c r="H190" s="11">
        <v>0</v>
      </c>
    </row>
    <row r="191" spans="4:8" x14ac:dyDescent="0.35">
      <c r="D191" s="12"/>
      <c r="E191" s="12"/>
      <c r="F191" s="12"/>
      <c r="H191" s="11">
        <v>0</v>
      </c>
    </row>
    <row r="192" spans="4:8" x14ac:dyDescent="0.35">
      <c r="D192" s="12"/>
      <c r="E192" s="12"/>
      <c r="F192" s="12"/>
      <c r="H192" s="11">
        <v>0</v>
      </c>
    </row>
    <row r="193" spans="4:8" x14ac:dyDescent="0.35">
      <c r="D193" s="12"/>
      <c r="E193" s="12"/>
      <c r="F193" s="12"/>
      <c r="H193" s="11">
        <v>0</v>
      </c>
    </row>
    <row r="194" spans="4:8" x14ac:dyDescent="0.35">
      <c r="D194" s="12"/>
      <c r="E194" s="12"/>
      <c r="F194" s="12"/>
      <c r="H194" s="11">
        <v>0</v>
      </c>
    </row>
    <row r="195" spans="4:8" x14ac:dyDescent="0.35">
      <c r="D195" s="12"/>
      <c r="E195" s="12"/>
      <c r="F195" s="12"/>
      <c r="H195" s="11">
        <v>0</v>
      </c>
    </row>
    <row r="196" spans="4:8" x14ac:dyDescent="0.35">
      <c r="D196" s="12"/>
      <c r="E196" s="12"/>
      <c r="F196" s="12"/>
      <c r="H196" s="11">
        <v>0</v>
      </c>
    </row>
    <row r="197" spans="4:8" x14ac:dyDescent="0.35">
      <c r="D197" s="12"/>
      <c r="E197" s="12"/>
      <c r="F197" s="12"/>
      <c r="H197" s="11">
        <v>0</v>
      </c>
    </row>
    <row r="198" spans="4:8" x14ac:dyDescent="0.35">
      <c r="D198" s="12"/>
      <c r="E198" s="12"/>
      <c r="F198" s="12"/>
      <c r="H198" s="11">
        <v>0</v>
      </c>
    </row>
    <row r="199" spans="4:8" x14ac:dyDescent="0.35">
      <c r="D199" s="12"/>
      <c r="E199" s="12"/>
      <c r="F199" s="12"/>
      <c r="H199" s="11">
        <v>0</v>
      </c>
    </row>
    <row r="200" spans="4:8" x14ac:dyDescent="0.35">
      <c r="D200" s="12"/>
      <c r="E200" s="12"/>
      <c r="F200" s="12"/>
      <c r="H200" s="11">
        <v>0</v>
      </c>
    </row>
    <row r="201" spans="4:8" x14ac:dyDescent="0.35">
      <c r="D201" s="37"/>
      <c r="E201" s="37"/>
      <c r="F201" s="38"/>
      <c r="H201" s="11">
        <v>0</v>
      </c>
    </row>
    <row r="202" spans="4:8" x14ac:dyDescent="0.35">
      <c r="D202" s="37"/>
      <c r="E202" s="37"/>
      <c r="F202" s="38"/>
      <c r="H202" s="11"/>
    </row>
    <row r="203" spans="4:8" x14ac:dyDescent="0.35">
      <c r="D203" s="37"/>
      <c r="E203" s="37"/>
      <c r="F203" s="38"/>
      <c r="H203" s="11"/>
    </row>
    <row r="204" spans="4:8" x14ac:dyDescent="0.35">
      <c r="D204" s="37"/>
      <c r="E204" s="37"/>
      <c r="F204" s="38"/>
      <c r="H204" s="11"/>
    </row>
    <row r="205" spans="4:8" x14ac:dyDescent="0.35">
      <c r="D205" s="37"/>
      <c r="E205" s="37"/>
      <c r="F205" s="38"/>
      <c r="H205" s="11"/>
    </row>
    <row r="206" spans="4:8" x14ac:dyDescent="0.35">
      <c r="D206" s="37"/>
      <c r="E206" s="37"/>
      <c r="F206" s="38"/>
      <c r="H206" s="11"/>
    </row>
    <row r="207" spans="4:8" x14ac:dyDescent="0.35">
      <c r="D207" s="37"/>
      <c r="E207" s="37"/>
      <c r="F207" s="38"/>
      <c r="H207" s="11"/>
    </row>
    <row r="208" spans="4:8" x14ac:dyDescent="0.35">
      <c r="D208" s="37"/>
      <c r="E208" s="37"/>
      <c r="F208" s="38"/>
      <c r="H208" s="11"/>
    </row>
    <row r="209" spans="4:8" x14ac:dyDescent="0.35">
      <c r="D209" s="37"/>
      <c r="E209" s="37"/>
      <c r="F209" s="38"/>
      <c r="H209" s="11"/>
    </row>
    <row r="210" spans="4:8" x14ac:dyDescent="0.35">
      <c r="D210" s="37"/>
      <c r="E210" s="37"/>
      <c r="F210" s="38"/>
      <c r="H210" s="11"/>
    </row>
    <row r="211" spans="4:8" x14ac:dyDescent="0.35">
      <c r="D211" s="37"/>
      <c r="E211" s="37"/>
      <c r="F211" s="38"/>
      <c r="H211" s="11"/>
    </row>
    <row r="212" spans="4:8" x14ac:dyDescent="0.35">
      <c r="D212" s="37"/>
      <c r="E212" s="37"/>
      <c r="F212" s="38"/>
      <c r="H212" s="11"/>
    </row>
    <row r="213" spans="4:8" x14ac:dyDescent="0.35">
      <c r="D213" s="37"/>
      <c r="E213" s="37"/>
      <c r="F213" s="38"/>
      <c r="H213" s="11"/>
    </row>
    <row r="214" spans="4:8" x14ac:dyDescent="0.35">
      <c r="D214" s="37"/>
      <c r="E214" s="37"/>
      <c r="F214" s="38"/>
      <c r="H214" s="11"/>
    </row>
    <row r="215" spans="4:8" x14ac:dyDescent="0.35">
      <c r="D215" s="37"/>
      <c r="E215" s="37"/>
      <c r="F215" s="38"/>
      <c r="H215" s="11"/>
    </row>
    <row r="216" spans="4:8" x14ac:dyDescent="0.35">
      <c r="D216" s="37"/>
      <c r="E216" s="37"/>
      <c r="F216" s="38"/>
      <c r="H216" s="11"/>
    </row>
    <row r="217" spans="4:8" x14ac:dyDescent="0.35">
      <c r="D217" s="37"/>
      <c r="E217" s="37"/>
      <c r="F217" s="38"/>
      <c r="H217" s="11"/>
    </row>
    <row r="218" spans="4:8" x14ac:dyDescent="0.35">
      <c r="D218" s="37"/>
      <c r="E218" s="37"/>
      <c r="F218" s="38"/>
      <c r="H218" s="11"/>
    </row>
    <row r="219" spans="4:8" x14ac:dyDescent="0.35">
      <c r="D219" s="37"/>
      <c r="E219" s="37"/>
      <c r="F219" s="38"/>
      <c r="H219" s="11"/>
    </row>
    <row r="220" spans="4:8" x14ac:dyDescent="0.35">
      <c r="D220" s="37"/>
      <c r="E220" s="37"/>
      <c r="F220" s="38"/>
      <c r="H220" s="11"/>
    </row>
    <row r="221" spans="4:8" x14ac:dyDescent="0.35">
      <c r="D221" s="37"/>
      <c r="E221" s="37"/>
      <c r="F221" s="38"/>
      <c r="H221" s="11"/>
    </row>
    <row r="222" spans="4:8" x14ac:dyDescent="0.35">
      <c r="D222" s="37"/>
      <c r="E222" s="37"/>
      <c r="F222" s="38"/>
      <c r="H222" s="11"/>
    </row>
    <row r="223" spans="4:8" x14ac:dyDescent="0.35">
      <c r="D223" s="37"/>
      <c r="E223" s="37"/>
      <c r="F223" s="38"/>
      <c r="H223" s="11"/>
    </row>
    <row r="224" spans="4:8" x14ac:dyDescent="0.35">
      <c r="D224" s="37"/>
      <c r="E224" s="37"/>
      <c r="F224" s="38"/>
      <c r="H224" s="11"/>
    </row>
    <row r="225" spans="4:8" x14ac:dyDescent="0.35">
      <c r="D225" s="37"/>
      <c r="E225" s="37"/>
      <c r="F225" s="38"/>
      <c r="H225" s="11"/>
    </row>
    <row r="226" spans="4:8" x14ac:dyDescent="0.35">
      <c r="D226" s="37"/>
      <c r="E226" s="37"/>
      <c r="F226" s="38"/>
      <c r="H226" s="11"/>
    </row>
    <row r="227" spans="4:8" x14ac:dyDescent="0.35">
      <c r="D227" s="37"/>
      <c r="E227" s="37"/>
      <c r="F227" s="38"/>
      <c r="H227" s="11"/>
    </row>
    <row r="228" spans="4:8" x14ac:dyDescent="0.35">
      <c r="D228" s="37"/>
      <c r="E228" s="37"/>
      <c r="F228" s="38"/>
      <c r="H228" s="11"/>
    </row>
    <row r="229" spans="4:8" x14ac:dyDescent="0.35">
      <c r="D229" s="37"/>
      <c r="E229" s="37"/>
      <c r="F229" s="38"/>
      <c r="H229" s="11"/>
    </row>
    <row r="230" spans="4:8" x14ac:dyDescent="0.35">
      <c r="D230" s="37"/>
      <c r="E230" s="37"/>
      <c r="F230" s="38"/>
      <c r="H230" s="11"/>
    </row>
    <row r="231" spans="4:8" x14ac:dyDescent="0.35">
      <c r="D231" s="37"/>
      <c r="E231" s="37"/>
      <c r="F231" s="38"/>
      <c r="H231" s="11"/>
    </row>
    <row r="232" spans="4:8" x14ac:dyDescent="0.35">
      <c r="D232" s="37"/>
      <c r="E232" s="37"/>
      <c r="F232" s="38"/>
      <c r="H232" s="11"/>
    </row>
    <row r="233" spans="4:8" x14ac:dyDescent="0.35">
      <c r="D233" s="37"/>
      <c r="E233" s="37"/>
      <c r="F233" s="38"/>
      <c r="H233" s="11"/>
    </row>
    <row r="234" spans="4:8" x14ac:dyDescent="0.35">
      <c r="D234" s="37"/>
      <c r="E234" s="37"/>
      <c r="F234" s="38"/>
      <c r="H234" s="11"/>
    </row>
    <row r="235" spans="4:8" x14ac:dyDescent="0.35">
      <c r="D235" s="37"/>
      <c r="E235" s="37"/>
      <c r="F235" s="38"/>
      <c r="H235" s="11"/>
    </row>
    <row r="236" spans="4:8" x14ac:dyDescent="0.35">
      <c r="D236" s="37"/>
      <c r="E236" s="37"/>
      <c r="F236" s="38"/>
      <c r="H236" s="11"/>
    </row>
    <row r="237" spans="4:8" x14ac:dyDescent="0.35">
      <c r="D237" s="37"/>
      <c r="E237" s="37"/>
      <c r="F237" s="38"/>
      <c r="H237" s="11"/>
    </row>
    <row r="238" spans="4:8" x14ac:dyDescent="0.35">
      <c r="D238" s="37"/>
      <c r="E238" s="37"/>
      <c r="F238" s="38"/>
      <c r="H238" s="11"/>
    </row>
    <row r="239" spans="4:8" x14ac:dyDescent="0.35">
      <c r="D239" s="37"/>
      <c r="E239" s="37"/>
      <c r="F239" s="38"/>
      <c r="H239" s="11"/>
    </row>
    <row r="240" spans="4:8" x14ac:dyDescent="0.35">
      <c r="D240" s="37"/>
      <c r="E240" s="37"/>
      <c r="F240" s="38"/>
      <c r="H240" s="11"/>
    </row>
    <row r="241" spans="4:8" x14ac:dyDescent="0.35">
      <c r="D241" s="37"/>
      <c r="E241" s="37"/>
      <c r="F241" s="38"/>
      <c r="H241" s="11"/>
    </row>
    <row r="242" spans="4:8" x14ac:dyDescent="0.35">
      <c r="D242" s="37"/>
      <c r="E242" s="37"/>
      <c r="F242" s="38"/>
      <c r="G242" s="28"/>
      <c r="H242" s="11"/>
    </row>
    <row r="243" spans="4:8" x14ac:dyDescent="0.35">
      <c r="D243" s="37"/>
      <c r="E243" s="37"/>
      <c r="F243" s="38"/>
      <c r="H243" s="11"/>
    </row>
    <row r="244" spans="4:8" x14ac:dyDescent="0.35">
      <c r="D244" s="37"/>
      <c r="E244" s="37"/>
      <c r="F244" s="38"/>
      <c r="H244" s="11"/>
    </row>
    <row r="245" spans="4:8" x14ac:dyDescent="0.35">
      <c r="D245" s="37"/>
      <c r="E245" s="37"/>
      <c r="F245" s="38"/>
      <c r="H245" s="11"/>
    </row>
    <row r="246" spans="4:8" x14ac:dyDescent="0.35">
      <c r="D246" s="37"/>
      <c r="E246" s="37"/>
      <c r="F246" s="38"/>
      <c r="H246" s="11"/>
    </row>
    <row r="247" spans="4:8" x14ac:dyDescent="0.35">
      <c r="D247" s="37"/>
      <c r="E247" s="37"/>
      <c r="F247" s="38"/>
      <c r="H247" s="11"/>
    </row>
    <row r="248" spans="4:8" x14ac:dyDescent="0.35">
      <c r="D248" s="37"/>
      <c r="E248" s="37"/>
      <c r="F248" s="38"/>
      <c r="H248" s="11"/>
    </row>
    <row r="249" spans="4:8" x14ac:dyDescent="0.35">
      <c r="D249" s="37"/>
      <c r="E249" s="37"/>
      <c r="F249" s="38"/>
      <c r="H249" s="11"/>
    </row>
    <row r="250" spans="4:8" x14ac:dyDescent="0.35">
      <c r="D250" s="37"/>
      <c r="E250" s="37"/>
      <c r="F250" s="38"/>
      <c r="H250" s="11"/>
    </row>
    <row r="251" spans="4:8" x14ac:dyDescent="0.35">
      <c r="D251" s="37"/>
      <c r="E251" s="37"/>
      <c r="F251" s="38"/>
      <c r="H251" s="11"/>
    </row>
    <row r="252" spans="4:8" x14ac:dyDescent="0.35">
      <c r="D252" s="37"/>
      <c r="E252" s="37"/>
      <c r="F252" s="38"/>
      <c r="H252" s="11"/>
    </row>
    <row r="253" spans="4:8" x14ac:dyDescent="0.35">
      <c r="D253" s="37"/>
      <c r="E253" s="37"/>
      <c r="F253" s="38"/>
      <c r="H253" s="11"/>
    </row>
    <row r="254" spans="4:8" x14ac:dyDescent="0.35">
      <c r="D254" s="37"/>
      <c r="E254" s="37"/>
      <c r="F254" s="38"/>
      <c r="H254" s="11"/>
    </row>
    <row r="255" spans="4:8" x14ac:dyDescent="0.35">
      <c r="D255" s="37"/>
      <c r="E255" s="37"/>
      <c r="F255" s="38"/>
      <c r="H255" s="11"/>
    </row>
    <row r="256" spans="4:8" x14ac:dyDescent="0.35">
      <c r="D256" s="37"/>
      <c r="E256" s="37"/>
      <c r="F256" s="38"/>
      <c r="H256" s="11"/>
    </row>
    <row r="257" spans="4:8" x14ac:dyDescent="0.35">
      <c r="D257" s="37"/>
      <c r="E257" s="37"/>
      <c r="F257" s="38"/>
      <c r="H257" s="11"/>
    </row>
    <row r="258" spans="4:8" x14ac:dyDescent="0.35">
      <c r="D258" s="37"/>
      <c r="E258" s="37"/>
      <c r="F258" s="38"/>
      <c r="H258" s="11"/>
    </row>
    <row r="259" spans="4:8" x14ac:dyDescent="0.35">
      <c r="D259" s="37"/>
      <c r="E259" s="37"/>
      <c r="F259" s="38"/>
      <c r="H259" s="11"/>
    </row>
    <row r="260" spans="4:8" x14ac:dyDescent="0.35">
      <c r="D260" s="37"/>
      <c r="E260" s="37"/>
      <c r="F260" s="38"/>
      <c r="H260" s="11"/>
    </row>
    <row r="261" spans="4:8" x14ac:dyDescent="0.35">
      <c r="D261" s="37"/>
      <c r="E261" s="37"/>
      <c r="F261" s="38"/>
      <c r="H261" s="11"/>
    </row>
    <row r="262" spans="4:8" x14ac:dyDescent="0.35">
      <c r="D262" s="37"/>
      <c r="E262" s="37"/>
      <c r="F262" s="38"/>
      <c r="H262" s="11"/>
    </row>
    <row r="263" spans="4:8" x14ac:dyDescent="0.35">
      <c r="D263" s="37"/>
      <c r="E263" s="37"/>
      <c r="F263" s="38"/>
      <c r="H263" s="11"/>
    </row>
    <row r="264" spans="4:8" x14ac:dyDescent="0.35">
      <c r="D264" s="37"/>
      <c r="E264" s="37"/>
      <c r="F264" s="38"/>
      <c r="H264" s="11"/>
    </row>
    <row r="265" spans="4:8" x14ac:dyDescent="0.35">
      <c r="D265" s="37"/>
      <c r="E265" s="37"/>
      <c r="F265" s="38"/>
      <c r="H265" s="11"/>
    </row>
    <row r="266" spans="4:8" x14ac:dyDescent="0.35">
      <c r="D266" s="37"/>
      <c r="E266" s="37"/>
      <c r="F266" s="38"/>
      <c r="H266" s="11"/>
    </row>
    <row r="267" spans="4:8" x14ac:dyDescent="0.35">
      <c r="D267" s="37"/>
      <c r="E267" s="37"/>
      <c r="F267" s="38"/>
      <c r="H267" s="11"/>
    </row>
    <row r="268" spans="4:8" x14ac:dyDescent="0.35">
      <c r="D268" s="37"/>
      <c r="E268" s="37"/>
      <c r="F268" s="38"/>
      <c r="H268" s="11"/>
    </row>
    <row r="269" spans="4:8" x14ac:dyDescent="0.35">
      <c r="D269" s="37"/>
      <c r="E269" s="37"/>
      <c r="F269" s="38"/>
      <c r="H269" s="11"/>
    </row>
    <row r="270" spans="4:8" x14ac:dyDescent="0.35">
      <c r="D270" s="37"/>
      <c r="E270" s="37"/>
      <c r="F270" s="38"/>
      <c r="H270" s="11"/>
    </row>
    <row r="271" spans="4:8" x14ac:dyDescent="0.35">
      <c r="D271" s="37"/>
      <c r="E271" s="37"/>
      <c r="F271" s="38"/>
      <c r="H271" s="11"/>
    </row>
    <row r="272" spans="4:8" x14ac:dyDescent="0.35">
      <c r="D272" s="37"/>
      <c r="E272" s="37"/>
      <c r="F272" s="38"/>
      <c r="H272" s="11"/>
    </row>
    <row r="273" spans="4:8" x14ac:dyDescent="0.35">
      <c r="D273" s="37"/>
      <c r="E273" s="37"/>
      <c r="F273" s="38"/>
      <c r="H273" s="11"/>
    </row>
    <row r="274" spans="4:8" x14ac:dyDescent="0.35">
      <c r="D274" s="37"/>
      <c r="E274" s="37"/>
      <c r="F274" s="38"/>
      <c r="H274" s="11"/>
    </row>
    <row r="275" spans="4:8" x14ac:dyDescent="0.35">
      <c r="D275" s="37"/>
      <c r="E275" s="37"/>
      <c r="F275" s="38"/>
      <c r="H275" s="11"/>
    </row>
    <row r="276" spans="4:8" x14ac:dyDescent="0.35">
      <c r="D276" s="37"/>
      <c r="E276" s="37"/>
      <c r="F276" s="38"/>
      <c r="H276" s="11"/>
    </row>
    <row r="277" spans="4:8" x14ac:dyDescent="0.35">
      <c r="D277" s="37"/>
      <c r="E277" s="37"/>
      <c r="F277" s="38"/>
      <c r="H277" s="11"/>
    </row>
    <row r="278" spans="4:8" x14ac:dyDescent="0.35">
      <c r="D278" s="37"/>
      <c r="E278" s="37"/>
      <c r="F278" s="38"/>
      <c r="H278" s="11"/>
    </row>
    <row r="279" spans="4:8" x14ac:dyDescent="0.35">
      <c r="D279" s="37"/>
      <c r="E279" s="37"/>
      <c r="F279" s="38"/>
      <c r="H279" s="11"/>
    </row>
    <row r="280" spans="4:8" x14ac:dyDescent="0.35">
      <c r="D280" s="37"/>
      <c r="E280" s="37"/>
      <c r="F280" s="38"/>
      <c r="H280" s="11"/>
    </row>
    <row r="281" spans="4:8" x14ac:dyDescent="0.35">
      <c r="D281" s="37"/>
      <c r="E281" s="37"/>
      <c r="F281" s="38"/>
      <c r="H281" s="11"/>
    </row>
    <row r="282" spans="4:8" x14ac:dyDescent="0.35">
      <c r="D282" s="37"/>
      <c r="E282" s="37"/>
      <c r="F282" s="38"/>
      <c r="H282" s="11"/>
    </row>
    <row r="283" spans="4:8" x14ac:dyDescent="0.35">
      <c r="D283" s="37"/>
      <c r="E283" s="37"/>
      <c r="F283" s="38"/>
      <c r="H283" s="11"/>
    </row>
    <row r="284" spans="4:8" x14ac:dyDescent="0.35">
      <c r="D284" s="37"/>
      <c r="E284" s="37"/>
      <c r="F284" s="38"/>
      <c r="H284" s="11"/>
    </row>
    <row r="285" spans="4:8" x14ac:dyDescent="0.35">
      <c r="D285" s="37"/>
      <c r="E285" s="37"/>
      <c r="F285" s="38"/>
      <c r="H285" s="11"/>
    </row>
    <row r="286" spans="4:8" x14ac:dyDescent="0.35">
      <c r="D286" s="37"/>
      <c r="E286" s="37"/>
      <c r="F286" s="38"/>
      <c r="H286" s="11"/>
    </row>
    <row r="287" spans="4:8" x14ac:dyDescent="0.35">
      <c r="D287" s="37"/>
      <c r="E287" s="37"/>
      <c r="F287" s="38"/>
      <c r="H287" s="11"/>
    </row>
    <row r="288" spans="4:8" x14ac:dyDescent="0.35">
      <c r="D288" s="37"/>
      <c r="E288" s="37"/>
      <c r="F288" s="38"/>
      <c r="H288" s="11"/>
    </row>
    <row r="289" spans="4:8" x14ac:dyDescent="0.35">
      <c r="D289" s="37"/>
      <c r="E289" s="37"/>
      <c r="F289" s="38"/>
      <c r="H289" s="11"/>
    </row>
    <row r="290" spans="4:8" x14ac:dyDescent="0.35">
      <c r="D290" s="37"/>
      <c r="E290" s="37"/>
      <c r="F290" s="38"/>
      <c r="H290" s="11"/>
    </row>
    <row r="291" spans="4:8" x14ac:dyDescent="0.35">
      <c r="D291" s="37"/>
      <c r="E291" s="37"/>
      <c r="F291" s="38"/>
      <c r="H291" s="11"/>
    </row>
    <row r="292" spans="4:8" x14ac:dyDescent="0.35">
      <c r="D292" s="37"/>
      <c r="E292" s="37"/>
      <c r="F292" s="38"/>
      <c r="G292" s="28"/>
      <c r="H292" s="11"/>
    </row>
    <row r="293" spans="4:8" x14ac:dyDescent="0.35">
      <c r="D293" s="37"/>
      <c r="E293" s="37"/>
      <c r="F293" s="38"/>
      <c r="H293" s="11"/>
    </row>
    <row r="294" spans="4:8" x14ac:dyDescent="0.35">
      <c r="D294" s="37"/>
      <c r="E294" s="37"/>
      <c r="F294" s="38"/>
      <c r="H294" s="11"/>
    </row>
    <row r="295" spans="4:8" x14ac:dyDescent="0.35">
      <c r="D295" s="37"/>
      <c r="E295" s="37"/>
      <c r="F295" s="38"/>
      <c r="H295" s="11"/>
    </row>
    <row r="296" spans="4:8" x14ac:dyDescent="0.35">
      <c r="D296" s="37"/>
      <c r="E296" s="37"/>
      <c r="F296" s="38"/>
      <c r="H296" s="11"/>
    </row>
    <row r="297" spans="4:8" x14ac:dyDescent="0.35">
      <c r="D297" s="37"/>
      <c r="E297" s="37"/>
      <c r="F297" s="38"/>
      <c r="G297" s="28"/>
      <c r="H297" s="11"/>
    </row>
    <row r="298" spans="4:8" x14ac:dyDescent="0.35">
      <c r="D298" s="37"/>
      <c r="E298" s="37"/>
      <c r="F298" s="37"/>
      <c r="H298" s="11"/>
    </row>
    <row r="299" spans="4:8" x14ac:dyDescent="0.35">
      <c r="D299" s="37"/>
      <c r="E299" s="37"/>
      <c r="F299" s="37"/>
      <c r="H299" s="11"/>
    </row>
    <row r="300" spans="4:8" x14ac:dyDescent="0.35">
      <c r="D300" s="37"/>
      <c r="E300" s="37"/>
      <c r="F300" s="37"/>
      <c r="H300" s="11"/>
    </row>
    <row r="301" spans="4:8" x14ac:dyDescent="0.35">
      <c r="D301" s="37"/>
      <c r="E301" s="37"/>
      <c r="F301" s="37"/>
      <c r="H301" s="11"/>
    </row>
    <row r="302" spans="4:8" x14ac:dyDescent="0.35">
      <c r="D302" s="37"/>
      <c r="E302" s="37"/>
      <c r="F302" s="37"/>
      <c r="H302" s="11"/>
    </row>
    <row r="303" spans="4:8" x14ac:dyDescent="0.35">
      <c r="D303" s="37"/>
      <c r="E303" s="37"/>
      <c r="F303" s="37"/>
      <c r="H303" s="11"/>
    </row>
    <row r="304" spans="4:8" x14ac:dyDescent="0.35">
      <c r="D304" s="37"/>
      <c r="E304" s="37"/>
      <c r="F304" s="37"/>
      <c r="H304" s="11"/>
    </row>
    <row r="305" spans="4:8" x14ac:dyDescent="0.35">
      <c r="D305" s="37"/>
      <c r="E305" s="37"/>
      <c r="F305" s="37"/>
      <c r="H305" s="11"/>
    </row>
    <row r="306" spans="4:8" x14ac:dyDescent="0.35">
      <c r="D306" s="37"/>
      <c r="E306" s="37"/>
      <c r="F306" s="37"/>
      <c r="H306" s="11"/>
    </row>
    <row r="307" spans="4:8" x14ac:dyDescent="0.35">
      <c r="D307" s="37"/>
      <c r="E307" s="37"/>
      <c r="F307" s="37"/>
      <c r="H307" s="11"/>
    </row>
    <row r="308" spans="4:8" x14ac:dyDescent="0.35">
      <c r="D308" s="37"/>
      <c r="E308" s="37"/>
      <c r="F308" s="37"/>
      <c r="H308" s="11"/>
    </row>
    <row r="309" spans="4:8" x14ac:dyDescent="0.35">
      <c r="D309" s="37"/>
      <c r="E309" s="37"/>
      <c r="F309" s="37"/>
      <c r="H309" s="11"/>
    </row>
    <row r="310" spans="4:8" x14ac:dyDescent="0.35">
      <c r="D310" s="37"/>
      <c r="E310" s="37"/>
      <c r="F310" s="37"/>
      <c r="H310" s="11"/>
    </row>
    <row r="311" spans="4:8" x14ac:dyDescent="0.35">
      <c r="D311" s="37"/>
      <c r="E311" s="37"/>
      <c r="F311" s="37"/>
      <c r="H311" s="11"/>
    </row>
    <row r="312" spans="4:8" x14ac:dyDescent="0.35">
      <c r="D312" s="37"/>
      <c r="E312" s="37"/>
      <c r="F312" s="37"/>
      <c r="H312" s="11"/>
    </row>
    <row r="313" spans="4:8" x14ac:dyDescent="0.35">
      <c r="D313" s="37"/>
      <c r="E313" s="37"/>
      <c r="F313" s="37"/>
      <c r="H313" s="11"/>
    </row>
    <row r="314" spans="4:8" x14ac:dyDescent="0.35">
      <c r="D314" s="37"/>
      <c r="E314" s="37"/>
      <c r="F314" s="37"/>
      <c r="H314" s="11"/>
    </row>
    <row r="315" spans="4:8" x14ac:dyDescent="0.35">
      <c r="D315" s="37"/>
      <c r="E315" s="37"/>
      <c r="F315" s="37"/>
      <c r="H315" s="11"/>
    </row>
    <row r="316" spans="4:8" x14ac:dyDescent="0.35">
      <c r="D316" s="37"/>
      <c r="E316" s="37"/>
      <c r="F316" s="37"/>
      <c r="H316" s="11"/>
    </row>
    <row r="317" spans="4:8" x14ac:dyDescent="0.35">
      <c r="D317" s="37"/>
      <c r="E317" s="37"/>
      <c r="F317" s="37"/>
      <c r="H317" s="11"/>
    </row>
    <row r="318" spans="4:8" x14ac:dyDescent="0.35">
      <c r="D318" s="37"/>
      <c r="E318" s="37"/>
      <c r="F318" s="37"/>
      <c r="H318" s="11"/>
    </row>
    <row r="319" spans="4:8" x14ac:dyDescent="0.35">
      <c r="D319" s="37"/>
      <c r="E319" s="37"/>
      <c r="F319" s="37"/>
      <c r="H319" s="11"/>
    </row>
    <row r="320" spans="4:8" x14ac:dyDescent="0.35">
      <c r="D320" s="37"/>
      <c r="E320" s="37"/>
      <c r="F320" s="37"/>
      <c r="H320" s="11"/>
    </row>
    <row r="321" spans="4:8" x14ac:dyDescent="0.35">
      <c r="D321" s="37"/>
      <c r="E321" s="37"/>
      <c r="F321" s="37"/>
      <c r="H321" s="11"/>
    </row>
    <row r="322" spans="4:8" x14ac:dyDescent="0.35">
      <c r="D322" s="37"/>
      <c r="E322" s="37"/>
      <c r="F322" s="37"/>
      <c r="H322" s="11"/>
    </row>
    <row r="323" spans="4:8" x14ac:dyDescent="0.35">
      <c r="D323" s="37"/>
      <c r="E323" s="37"/>
      <c r="F323" s="37"/>
      <c r="H323" s="11"/>
    </row>
    <row r="324" spans="4:8" x14ac:dyDescent="0.35">
      <c r="D324" s="37"/>
      <c r="E324" s="37"/>
      <c r="F324" s="37"/>
      <c r="H324" s="11"/>
    </row>
    <row r="325" spans="4:8" x14ac:dyDescent="0.35">
      <c r="D325" s="37"/>
      <c r="E325" s="37"/>
      <c r="F325" s="37"/>
      <c r="H325" s="11"/>
    </row>
    <row r="326" spans="4:8" x14ac:dyDescent="0.35">
      <c r="D326" s="37"/>
      <c r="E326" s="37"/>
      <c r="F326" s="37"/>
      <c r="H326" s="11"/>
    </row>
    <row r="327" spans="4:8" x14ac:dyDescent="0.35">
      <c r="D327" s="37"/>
      <c r="E327" s="37"/>
      <c r="F327" s="37"/>
      <c r="H327" s="11"/>
    </row>
    <row r="328" spans="4:8" x14ac:dyDescent="0.35">
      <c r="D328" s="37"/>
      <c r="E328" s="37"/>
      <c r="F328" s="37"/>
      <c r="H328" s="11"/>
    </row>
    <row r="329" spans="4:8" x14ac:dyDescent="0.35">
      <c r="D329" s="37"/>
      <c r="E329" s="37"/>
      <c r="F329" s="37"/>
      <c r="H329" s="11"/>
    </row>
    <row r="330" spans="4:8" x14ac:dyDescent="0.35">
      <c r="D330" s="37"/>
      <c r="E330" s="37"/>
      <c r="F330" s="37"/>
      <c r="H330" s="11"/>
    </row>
    <row r="331" spans="4:8" x14ac:dyDescent="0.35">
      <c r="D331" s="37"/>
      <c r="E331" s="37"/>
      <c r="F331" s="37"/>
      <c r="H331" s="11"/>
    </row>
    <row r="332" spans="4:8" x14ac:dyDescent="0.35">
      <c r="D332" s="37"/>
      <c r="E332" s="37"/>
      <c r="F332" s="37"/>
      <c r="H332" s="11"/>
    </row>
    <row r="333" spans="4:8" x14ac:dyDescent="0.35">
      <c r="D333" s="37"/>
      <c r="E333" s="37"/>
      <c r="F333" s="37"/>
      <c r="H333" s="11"/>
    </row>
    <row r="334" spans="4:8" x14ac:dyDescent="0.35">
      <c r="D334" s="37"/>
      <c r="E334" s="37"/>
      <c r="F334" s="37"/>
      <c r="H334" s="11"/>
    </row>
    <row r="335" spans="4:8" x14ac:dyDescent="0.35">
      <c r="D335" s="37"/>
      <c r="E335" s="37"/>
      <c r="F335" s="37"/>
      <c r="H335" s="11"/>
    </row>
    <row r="336" spans="4:8" x14ac:dyDescent="0.35">
      <c r="D336" s="37"/>
      <c r="E336" s="37"/>
      <c r="F336" s="37"/>
      <c r="H336" s="11"/>
    </row>
    <row r="337" spans="4:8" x14ac:dyDescent="0.35">
      <c r="D337" s="37"/>
      <c r="E337" s="37"/>
      <c r="F337" s="37"/>
      <c r="H337" s="11"/>
    </row>
    <row r="338" spans="4:8" x14ac:dyDescent="0.35">
      <c r="D338" s="37"/>
      <c r="E338" s="37"/>
      <c r="F338" s="37"/>
      <c r="H338" s="11"/>
    </row>
    <row r="339" spans="4:8" x14ac:dyDescent="0.35">
      <c r="D339" s="37"/>
      <c r="E339" s="37"/>
      <c r="F339" s="37"/>
      <c r="H339" s="11"/>
    </row>
    <row r="340" spans="4:8" x14ac:dyDescent="0.35">
      <c r="D340" s="37"/>
      <c r="E340" s="37"/>
      <c r="F340" s="37"/>
      <c r="H340" s="11"/>
    </row>
    <row r="341" spans="4:8" x14ac:dyDescent="0.35">
      <c r="D341" s="37"/>
      <c r="E341" s="37"/>
      <c r="F341" s="37"/>
      <c r="H341" s="11"/>
    </row>
    <row r="342" spans="4:8" x14ac:dyDescent="0.35">
      <c r="D342" s="37"/>
      <c r="E342" s="37"/>
      <c r="F342" s="37"/>
      <c r="H342" s="11"/>
    </row>
    <row r="343" spans="4:8" x14ac:dyDescent="0.35">
      <c r="D343" s="37"/>
      <c r="E343" s="37"/>
      <c r="F343" s="37"/>
      <c r="H343" s="11"/>
    </row>
    <row r="344" spans="4:8" x14ac:dyDescent="0.35">
      <c r="D344" s="37"/>
      <c r="E344" s="37"/>
      <c r="F344" s="37"/>
      <c r="H344" s="11"/>
    </row>
    <row r="345" spans="4:8" x14ac:dyDescent="0.35">
      <c r="D345" s="37"/>
      <c r="E345" s="37"/>
      <c r="F345" s="37"/>
      <c r="H345" s="11"/>
    </row>
    <row r="346" spans="4:8" x14ac:dyDescent="0.35">
      <c r="D346" s="37"/>
      <c r="E346" s="37"/>
      <c r="F346" s="37"/>
      <c r="H346" s="11"/>
    </row>
    <row r="347" spans="4:8" x14ac:dyDescent="0.35">
      <c r="D347" s="37"/>
      <c r="E347" s="37"/>
      <c r="F347" s="37"/>
      <c r="H347" s="11"/>
    </row>
    <row r="348" spans="4:8" x14ac:dyDescent="0.35">
      <c r="D348" s="37"/>
      <c r="E348" s="37"/>
      <c r="F348" s="37"/>
      <c r="H348" s="11"/>
    </row>
    <row r="349" spans="4:8" x14ac:dyDescent="0.35">
      <c r="D349" s="37"/>
      <c r="E349" s="37"/>
      <c r="F349" s="37"/>
      <c r="H349" s="11"/>
    </row>
    <row r="350" spans="4:8" x14ac:dyDescent="0.35">
      <c r="D350" s="37"/>
      <c r="E350" s="37"/>
      <c r="F350" s="37"/>
      <c r="H350" s="11"/>
    </row>
    <row r="351" spans="4:8" x14ac:dyDescent="0.35">
      <c r="D351" s="37"/>
      <c r="E351" s="37"/>
      <c r="F351" s="37"/>
      <c r="H351" s="11"/>
    </row>
    <row r="352" spans="4:8" x14ac:dyDescent="0.35">
      <c r="D352" s="37"/>
      <c r="E352" s="37"/>
      <c r="F352" s="37"/>
      <c r="H352" s="11"/>
    </row>
    <row r="353" spans="4:8" x14ac:dyDescent="0.35">
      <c r="D353" s="37"/>
      <c r="E353" s="37"/>
      <c r="F353" s="37"/>
      <c r="H353" s="11"/>
    </row>
    <row r="354" spans="4:8" x14ac:dyDescent="0.35">
      <c r="D354" s="37"/>
      <c r="E354" s="37"/>
      <c r="F354" s="37"/>
      <c r="H354" s="11"/>
    </row>
    <row r="355" spans="4:8" x14ac:dyDescent="0.35">
      <c r="D355" s="37"/>
      <c r="E355" s="37"/>
      <c r="F355" s="37"/>
      <c r="H355" s="11"/>
    </row>
    <row r="356" spans="4:8" x14ac:dyDescent="0.35">
      <c r="D356" s="37"/>
      <c r="E356" s="37"/>
      <c r="F356" s="37"/>
      <c r="H356" s="11"/>
    </row>
    <row r="357" spans="4:8" x14ac:dyDescent="0.35">
      <c r="D357" s="37"/>
      <c r="E357" s="37"/>
      <c r="F357" s="37"/>
      <c r="H357" s="11"/>
    </row>
    <row r="358" spans="4:8" x14ac:dyDescent="0.35">
      <c r="D358" s="37"/>
      <c r="E358" s="37"/>
      <c r="F358" s="37"/>
      <c r="H358" s="11"/>
    </row>
    <row r="359" spans="4:8" x14ac:dyDescent="0.35">
      <c r="D359" s="37"/>
      <c r="E359" s="37"/>
      <c r="F359" s="37"/>
      <c r="H359" s="11"/>
    </row>
    <row r="360" spans="4:8" x14ac:dyDescent="0.35">
      <c r="D360" s="37"/>
      <c r="E360" s="37"/>
      <c r="F360" s="37"/>
      <c r="H360" s="11"/>
    </row>
    <row r="361" spans="4:8" x14ac:dyDescent="0.35">
      <c r="D361" s="37"/>
      <c r="E361" s="37"/>
      <c r="F361" s="37"/>
      <c r="H361" s="11"/>
    </row>
    <row r="362" spans="4:8" x14ac:dyDescent="0.35">
      <c r="D362" s="37"/>
      <c r="E362" s="37"/>
      <c r="F362" s="37"/>
      <c r="H362" s="11"/>
    </row>
    <row r="363" spans="4:8" x14ac:dyDescent="0.35">
      <c r="D363" s="37"/>
      <c r="E363" s="37"/>
      <c r="F363" s="37"/>
      <c r="H363" s="11"/>
    </row>
    <row r="364" spans="4:8" x14ac:dyDescent="0.35">
      <c r="D364" s="37"/>
      <c r="E364" s="37"/>
      <c r="F364" s="37"/>
      <c r="H364" s="11"/>
    </row>
    <row r="365" spans="4:8" x14ac:dyDescent="0.35">
      <c r="H365" s="11"/>
    </row>
    <row r="366" spans="4:8" x14ac:dyDescent="0.35">
      <c r="H366" s="11"/>
    </row>
    <row r="367" spans="4:8" x14ac:dyDescent="0.35">
      <c r="H367" s="11"/>
    </row>
    <row r="368" spans="4:8" x14ac:dyDescent="0.35">
      <c r="H368" s="11"/>
    </row>
    <row r="369" spans="8:8" x14ac:dyDescent="0.35">
      <c r="H369" s="11"/>
    </row>
    <row r="370" spans="8:8" x14ac:dyDescent="0.35">
      <c r="H370" s="11"/>
    </row>
    <row r="371" spans="8:8" x14ac:dyDescent="0.35">
      <c r="H371" s="11"/>
    </row>
    <row r="372" spans="8:8" x14ac:dyDescent="0.35">
      <c r="H372" s="11"/>
    </row>
    <row r="373" spans="8:8" x14ac:dyDescent="0.35">
      <c r="H373" s="11"/>
    </row>
    <row r="374" spans="8:8" x14ac:dyDescent="0.35">
      <c r="H374" s="11"/>
    </row>
    <row r="375" spans="8:8" x14ac:dyDescent="0.35">
      <c r="H375" s="11"/>
    </row>
    <row r="376" spans="8:8" x14ac:dyDescent="0.35">
      <c r="H376" s="11"/>
    </row>
    <row r="377" spans="8:8" x14ac:dyDescent="0.35">
      <c r="H377" s="11"/>
    </row>
    <row r="378" spans="8:8" x14ac:dyDescent="0.35">
      <c r="H378" s="11"/>
    </row>
    <row r="379" spans="8:8" x14ac:dyDescent="0.35">
      <c r="H379" s="11"/>
    </row>
    <row r="380" spans="8:8" x14ac:dyDescent="0.35">
      <c r="H380" s="11"/>
    </row>
    <row r="381" spans="8:8" x14ac:dyDescent="0.35">
      <c r="H381" s="11"/>
    </row>
    <row r="382" spans="8:8" x14ac:dyDescent="0.35">
      <c r="H382" s="11"/>
    </row>
    <row r="383" spans="8:8" x14ac:dyDescent="0.35">
      <c r="H383" s="11"/>
    </row>
    <row r="384" spans="8:8" x14ac:dyDescent="0.35">
      <c r="H384" s="11"/>
    </row>
  </sheetData>
  <autoFilter ref="A1:M1" xr:uid="{ADDD2F7B-8F34-4E3D-A39C-F8E5385C9BE8}">
    <sortState xmlns:xlrd2="http://schemas.microsoft.com/office/spreadsheetml/2017/richdata2" ref="A2:M168">
      <sortCondition descending="1" ref="H1"/>
    </sortState>
  </autoFilter>
  <conditionalFormatting sqref="I2:M384">
    <cfRule type="cellIs" dxfId="11" priority="10" operator="greaterThan">
      <formula>0</formula>
    </cfRule>
    <cfRule type="cellIs" dxfId="10" priority="11" operator="equal">
      <formula>1</formula>
    </cfRule>
    <cfRule type="cellIs" dxfId="9" priority="12" operator="equal">
      <formula>"""1"""</formula>
    </cfRule>
  </conditionalFormatting>
  <conditionalFormatting sqref="AA3:AI3">
    <cfRule type="duplicateValues" dxfId="8" priority="9"/>
  </conditionalFormatting>
  <conditionalFormatting sqref="AA5:AI5">
    <cfRule type="duplicateValues" dxfId="7" priority="8"/>
  </conditionalFormatting>
  <conditionalFormatting sqref="AA21:AI21">
    <cfRule type="duplicateValues" dxfId="6" priority="7"/>
  </conditionalFormatting>
  <conditionalFormatting sqref="AA22:AI22">
    <cfRule type="duplicateValues" dxfId="5" priority="6"/>
  </conditionalFormatting>
  <conditionalFormatting sqref="AA23:AI23">
    <cfRule type="duplicateValues" dxfId="4" priority="5"/>
  </conditionalFormatting>
  <conditionalFormatting sqref="A169:A245">
    <cfRule type="duplicateValues" dxfId="3" priority="4"/>
  </conditionalFormatting>
  <conditionalFormatting sqref="A2:A168">
    <cfRule type="duplicateValues" dxfId="2" priority="3"/>
  </conditionalFormatting>
  <conditionalFormatting sqref="AA2:AI2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olverMacro">
                <anchor moveWithCells="1" sizeWithCells="1">
                  <from>
                    <xdr:col>17</xdr:col>
                    <xdr:colOff>76200</xdr:colOff>
                    <xdr:row>0</xdr:row>
                    <xdr:rowOff>12700</xdr:rowOff>
                  </from>
                  <to>
                    <xdr:col>18</xdr:col>
                    <xdr:colOff>590550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Optimizer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Byrne</dc:creator>
  <cp:lastModifiedBy>Jason Byrne</cp:lastModifiedBy>
  <dcterms:created xsi:type="dcterms:W3CDTF">2020-09-14T01:20:22Z</dcterms:created>
  <dcterms:modified xsi:type="dcterms:W3CDTF">2020-09-14T01:23:30Z</dcterms:modified>
</cp:coreProperties>
</file>